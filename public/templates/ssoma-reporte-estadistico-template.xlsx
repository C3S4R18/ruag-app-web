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agsrl.sharepoint.com/sites/RUAG/2020/01RUAG - 2020/04SEGURIDAD/00 GESTION SSOMA 2026/13 ESTADISTICAS SST/"/>
    </mc:Choice>
  </mc:AlternateContent>
  <xr:revisionPtr revIDLastSave="1" documentId="14_{DE01BF1C-C35C-4518-A031-A6DF2F625A38}" xr6:coauthVersionLast="47" xr6:coauthVersionMax="47" xr10:uidLastSave="{5C78FC70-3952-4D0A-9724-265145445179}"/>
  <bookViews>
    <workbookView xWindow="-120" yWindow="-120" windowWidth="20730" windowHeight="11160" xr2:uid="{00000000-000D-0000-FFFF-FFFF00000000}"/>
  </bookViews>
  <sheets>
    <sheet name="SEMANA 01" sheetId="34" r:id="rId1"/>
    <sheet name="SEMANA 02" sheetId="50" r:id="rId2"/>
    <sheet name="SEMANA 03" sheetId="54" r:id="rId3"/>
    <sheet name="SEMANA 04" sheetId="55" r:id="rId4"/>
    <sheet name="SEMANA 05" sheetId="56" r:id="rId5"/>
    <sheet name=" CONS" sheetId="24" r:id="rId6"/>
    <sheet name="Hoja1" sheetId="35" state="hidden" r:id="rId7"/>
  </sheets>
  <definedNames>
    <definedName name="_xlnm.Print_Area" localSheetId="5">' CONS'!$A$1:$I$113</definedName>
    <definedName name="_xlnm.Print_Area" localSheetId="0">'SEMANA 01'!$A$1:$K$255</definedName>
    <definedName name="_xlnm.Print_Area" localSheetId="1">'SEMANA 02'!$A$1:$K$255</definedName>
    <definedName name="_xlnm.Print_Area" localSheetId="2">'SEMANA 03'!$A$1:$K$255</definedName>
    <definedName name="_xlnm.Print_Area" localSheetId="3">'SEMANA 04'!$A$1:$K$255</definedName>
    <definedName name="_xlnm.Print_Area" localSheetId="4">'SEMANA 05'!$A$1:$K$255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24" l="1"/>
  <c r="I48" i="24"/>
  <c r="I47" i="24"/>
  <c r="K118" i="56"/>
  <c r="J118" i="56"/>
  <c r="K117" i="56"/>
  <c r="J117" i="56"/>
  <c r="K116" i="56"/>
  <c r="J116" i="56"/>
  <c r="K115" i="56"/>
  <c r="J115" i="56"/>
  <c r="K114" i="56"/>
  <c r="J114" i="56"/>
  <c r="K113" i="56"/>
  <c r="J113" i="56"/>
  <c r="K112" i="56"/>
  <c r="J112" i="56"/>
  <c r="K111" i="56"/>
  <c r="J111" i="56"/>
  <c r="K110" i="56"/>
  <c r="J110" i="56"/>
  <c r="K109" i="56"/>
  <c r="J109" i="56"/>
  <c r="K108" i="56"/>
  <c r="J108" i="56"/>
  <c r="K107" i="56"/>
  <c r="J107" i="56"/>
  <c r="K106" i="56"/>
  <c r="J106" i="56"/>
  <c r="K105" i="56"/>
  <c r="J105" i="56"/>
  <c r="K104" i="56"/>
  <c r="J104" i="56"/>
  <c r="K103" i="56"/>
  <c r="J103" i="56"/>
  <c r="K102" i="56"/>
  <c r="J102" i="56"/>
  <c r="K101" i="56"/>
  <c r="K119" i="56" s="1"/>
  <c r="H48" i="24" s="1"/>
  <c r="J101" i="56"/>
  <c r="J119" i="56" s="1"/>
  <c r="K118" i="55"/>
  <c r="J118" i="55"/>
  <c r="K117" i="55"/>
  <c r="J117" i="55"/>
  <c r="K116" i="55"/>
  <c r="J116" i="55"/>
  <c r="K115" i="55"/>
  <c r="J115" i="55"/>
  <c r="K114" i="55"/>
  <c r="J114" i="55"/>
  <c r="K113" i="55"/>
  <c r="J113" i="55"/>
  <c r="K112" i="55"/>
  <c r="J112" i="55"/>
  <c r="K111" i="55"/>
  <c r="J111" i="55"/>
  <c r="K110" i="55"/>
  <c r="J110" i="55"/>
  <c r="K109" i="55"/>
  <c r="J109" i="55"/>
  <c r="K108" i="55"/>
  <c r="J108" i="55"/>
  <c r="K107" i="55"/>
  <c r="J107" i="55"/>
  <c r="K106" i="55"/>
  <c r="J106" i="55"/>
  <c r="K105" i="55"/>
  <c r="J105" i="55"/>
  <c r="K104" i="55"/>
  <c r="J104" i="55"/>
  <c r="K103" i="55"/>
  <c r="J103" i="55"/>
  <c r="K102" i="55"/>
  <c r="J102" i="55"/>
  <c r="K101" i="55"/>
  <c r="K119" i="55" s="1"/>
  <c r="G48" i="24" s="1"/>
  <c r="J101" i="55"/>
  <c r="J119" i="55" s="1"/>
  <c r="K118" i="54"/>
  <c r="J118" i="54"/>
  <c r="K117" i="54"/>
  <c r="J117" i="54"/>
  <c r="K116" i="54"/>
  <c r="J116" i="54"/>
  <c r="K115" i="54"/>
  <c r="J115" i="54"/>
  <c r="K114" i="54"/>
  <c r="J114" i="54"/>
  <c r="K113" i="54"/>
  <c r="J113" i="54"/>
  <c r="K112" i="54"/>
  <c r="J112" i="54"/>
  <c r="K111" i="54"/>
  <c r="J111" i="54"/>
  <c r="K110" i="54"/>
  <c r="J110" i="54"/>
  <c r="K109" i="54"/>
  <c r="J109" i="54"/>
  <c r="K108" i="54"/>
  <c r="J108" i="54"/>
  <c r="K107" i="54"/>
  <c r="J107" i="54"/>
  <c r="K106" i="54"/>
  <c r="J106" i="54"/>
  <c r="K105" i="54"/>
  <c r="J105" i="54"/>
  <c r="K104" i="54"/>
  <c r="J104" i="54"/>
  <c r="K103" i="54"/>
  <c r="J103" i="54"/>
  <c r="K102" i="54"/>
  <c r="J102" i="54"/>
  <c r="K101" i="54"/>
  <c r="K119" i="54" s="1"/>
  <c r="F48" i="24" s="1"/>
  <c r="J101" i="54"/>
  <c r="J119" i="54" s="1"/>
  <c r="K118" i="50"/>
  <c r="J118" i="50"/>
  <c r="K117" i="50"/>
  <c r="J117" i="50"/>
  <c r="K116" i="50"/>
  <c r="J116" i="50"/>
  <c r="K115" i="50"/>
  <c r="J115" i="50"/>
  <c r="K114" i="50"/>
  <c r="J114" i="50"/>
  <c r="K113" i="50"/>
  <c r="J113" i="50"/>
  <c r="K112" i="50"/>
  <c r="J112" i="50"/>
  <c r="K111" i="50"/>
  <c r="J111" i="50"/>
  <c r="K110" i="50"/>
  <c r="J110" i="50"/>
  <c r="K109" i="50"/>
  <c r="J109" i="50"/>
  <c r="K108" i="50"/>
  <c r="J108" i="50"/>
  <c r="K107" i="50"/>
  <c r="J107" i="50"/>
  <c r="K106" i="50"/>
  <c r="J106" i="50"/>
  <c r="K105" i="50"/>
  <c r="J105" i="50"/>
  <c r="K104" i="50"/>
  <c r="J104" i="50"/>
  <c r="K103" i="50"/>
  <c r="J103" i="50"/>
  <c r="K102" i="50"/>
  <c r="J102" i="50"/>
  <c r="K101" i="50"/>
  <c r="K119" i="50" s="1"/>
  <c r="E48" i="24" s="1"/>
  <c r="J101" i="50"/>
  <c r="J119" i="50" s="1"/>
  <c r="K102" i="34"/>
  <c r="J102" i="34"/>
  <c r="J101" i="34"/>
  <c r="D59" i="24"/>
  <c r="D58" i="24"/>
  <c r="D57" i="24"/>
  <c r="D29" i="24"/>
  <c r="E15" i="24"/>
  <c r="D15" i="24"/>
  <c r="F19" i="24"/>
  <c r="F18" i="24"/>
  <c r="G38" i="24"/>
  <c r="G51" i="24"/>
  <c r="H45" i="24"/>
  <c r="G45" i="24"/>
  <c r="F45" i="24"/>
  <c r="E45" i="24"/>
  <c r="I28" i="24"/>
  <c r="H29" i="24"/>
  <c r="H28" i="24"/>
  <c r="G29" i="24"/>
  <c r="G28" i="24"/>
  <c r="F29" i="24"/>
  <c r="F28" i="24"/>
  <c r="E29" i="24"/>
  <c r="E28" i="24"/>
  <c r="H26" i="24"/>
  <c r="H25" i="24"/>
  <c r="G26" i="24"/>
  <c r="G25" i="24"/>
  <c r="F26" i="24"/>
  <c r="F25" i="24"/>
  <c r="E26" i="24"/>
  <c r="E25" i="24"/>
  <c r="H23" i="24"/>
  <c r="G23" i="24"/>
  <c r="F23" i="24"/>
  <c r="E23" i="24"/>
  <c r="I18" i="24"/>
  <c r="H20" i="24"/>
  <c r="H19" i="24"/>
  <c r="H18" i="24"/>
  <c r="G20" i="24"/>
  <c r="G19" i="24"/>
  <c r="G18" i="24"/>
  <c r="F20" i="24"/>
  <c r="E20" i="24"/>
  <c r="E19" i="24"/>
  <c r="E18" i="24"/>
  <c r="H16" i="24"/>
  <c r="H15" i="24"/>
  <c r="H14" i="24"/>
  <c r="H13" i="24"/>
  <c r="G16" i="24"/>
  <c r="G15" i="24"/>
  <c r="G14" i="24"/>
  <c r="G13" i="24"/>
  <c r="F16" i="24"/>
  <c r="F15" i="24"/>
  <c r="F14" i="24"/>
  <c r="F13" i="24"/>
  <c r="E16" i="24"/>
  <c r="E14" i="24"/>
  <c r="E13" i="24"/>
  <c r="H32" i="24"/>
  <c r="H33" i="24"/>
  <c r="H34" i="24"/>
  <c r="H35" i="24"/>
  <c r="H36" i="24"/>
  <c r="H37" i="24"/>
  <c r="H38" i="24"/>
  <c r="H39" i="24"/>
  <c r="H40" i="24"/>
  <c r="H41" i="24"/>
  <c r="H42" i="24"/>
  <c r="H31" i="24"/>
  <c r="G32" i="24"/>
  <c r="G33" i="24"/>
  <c r="G34" i="24"/>
  <c r="G35" i="24"/>
  <c r="G36" i="24"/>
  <c r="G37" i="24"/>
  <c r="G39" i="24"/>
  <c r="G40" i="24"/>
  <c r="G41" i="24"/>
  <c r="G42" i="24"/>
  <c r="G31" i="24"/>
  <c r="F33" i="24"/>
  <c r="F34" i="24"/>
  <c r="F35" i="24"/>
  <c r="F36" i="24"/>
  <c r="F37" i="24"/>
  <c r="F38" i="24"/>
  <c r="F39" i="24"/>
  <c r="F40" i="24"/>
  <c r="F41" i="24"/>
  <c r="F42" i="24"/>
  <c r="F32" i="24"/>
  <c r="E33" i="24"/>
  <c r="E34" i="24"/>
  <c r="E35" i="24"/>
  <c r="E36" i="24"/>
  <c r="E37" i="24"/>
  <c r="E38" i="24"/>
  <c r="E39" i="24"/>
  <c r="E40" i="24"/>
  <c r="E41" i="24"/>
  <c r="E42" i="24"/>
  <c r="E32" i="24"/>
  <c r="D51" i="24"/>
  <c r="K109" i="34"/>
  <c r="J109" i="34"/>
  <c r="K108" i="34"/>
  <c r="J108" i="34"/>
  <c r="K107" i="34"/>
  <c r="J107" i="34"/>
  <c r="K106" i="34"/>
  <c r="J106" i="34"/>
  <c r="K105" i="34"/>
  <c r="J105" i="34"/>
  <c r="E31" i="24"/>
  <c r="D23" i="24"/>
  <c r="D20" i="24"/>
  <c r="K188" i="56"/>
  <c r="K46" i="56"/>
  <c r="K32" i="56"/>
  <c r="K16" i="56"/>
  <c r="K50" i="56"/>
  <c r="K47" i="56"/>
  <c r="K48" i="56"/>
  <c r="K49" i="56"/>
  <c r="K31" i="56"/>
  <c r="K35" i="56" s="1"/>
  <c r="K33" i="56"/>
  <c r="K34" i="56"/>
  <c r="K36" i="56" s="1"/>
  <c r="K17" i="56"/>
  <c r="K21" i="56" s="1"/>
  <c r="K18" i="56"/>
  <c r="K19" i="56"/>
  <c r="J191" i="56"/>
  <c r="I191" i="56"/>
  <c r="H191" i="56"/>
  <c r="G191" i="56"/>
  <c r="F191" i="56"/>
  <c r="E191" i="56"/>
  <c r="D191" i="56"/>
  <c r="K190" i="56"/>
  <c r="K189" i="56"/>
  <c r="K191" i="56"/>
  <c r="J184" i="56"/>
  <c r="I184" i="56"/>
  <c r="H184" i="56"/>
  <c r="G184" i="56"/>
  <c r="F184" i="56"/>
  <c r="E184" i="56"/>
  <c r="D184" i="56"/>
  <c r="J183" i="56"/>
  <c r="I183" i="56"/>
  <c r="H183" i="56"/>
  <c r="G183" i="56"/>
  <c r="F183" i="56"/>
  <c r="E183" i="56"/>
  <c r="D183" i="56"/>
  <c r="K178" i="56"/>
  <c r="K177" i="56"/>
  <c r="K176" i="56"/>
  <c r="K175" i="56"/>
  <c r="K174" i="56"/>
  <c r="K173" i="56"/>
  <c r="K183" i="56" s="1"/>
  <c r="K172" i="56"/>
  <c r="K171" i="56"/>
  <c r="J159" i="56"/>
  <c r="I159" i="56"/>
  <c r="H159" i="56"/>
  <c r="G159" i="56"/>
  <c r="F159" i="56"/>
  <c r="E159" i="56"/>
  <c r="D159" i="56"/>
  <c r="J158" i="56"/>
  <c r="I158" i="56"/>
  <c r="H158" i="56"/>
  <c r="G158" i="56"/>
  <c r="F158" i="56"/>
  <c r="E158" i="56"/>
  <c r="D158" i="56"/>
  <c r="K157" i="56"/>
  <c r="K156" i="56"/>
  <c r="K155" i="56"/>
  <c r="K154" i="56"/>
  <c r="K158" i="56" s="1"/>
  <c r="J146" i="56"/>
  <c r="I146" i="56"/>
  <c r="H146" i="56"/>
  <c r="G146" i="56"/>
  <c r="F146" i="56"/>
  <c r="E146" i="56"/>
  <c r="D146" i="56"/>
  <c r="K145" i="56"/>
  <c r="K144" i="56"/>
  <c r="J141" i="56"/>
  <c r="I141" i="56"/>
  <c r="H141" i="56"/>
  <c r="G141" i="56"/>
  <c r="F141" i="56"/>
  <c r="E141" i="56"/>
  <c r="D141" i="56"/>
  <c r="K140" i="56"/>
  <c r="K141" i="56" s="1"/>
  <c r="J137" i="56"/>
  <c r="I137" i="56"/>
  <c r="H137" i="56"/>
  <c r="G137" i="56"/>
  <c r="F137" i="56"/>
  <c r="E137" i="56"/>
  <c r="D137" i="56"/>
  <c r="K136" i="56"/>
  <c r="K135" i="56"/>
  <c r="K134" i="56"/>
  <c r="G123" i="56"/>
  <c r="H54" i="24" s="1"/>
  <c r="F123" i="56"/>
  <c r="H53" i="24" s="1"/>
  <c r="E123" i="56"/>
  <c r="H52" i="24" s="1"/>
  <c r="D123" i="56"/>
  <c r="H51" i="24" s="1"/>
  <c r="J95" i="56"/>
  <c r="I95" i="56"/>
  <c r="H95" i="56"/>
  <c r="G95" i="56"/>
  <c r="F95" i="56"/>
  <c r="E95" i="56"/>
  <c r="D95" i="56"/>
  <c r="K94" i="56"/>
  <c r="K93" i="56"/>
  <c r="K92" i="56"/>
  <c r="K91" i="56"/>
  <c r="K90" i="56"/>
  <c r="K89" i="56"/>
  <c r="K88" i="56"/>
  <c r="K87" i="56"/>
  <c r="K95" i="56" s="1"/>
  <c r="J64" i="56"/>
  <c r="I64" i="56"/>
  <c r="H64" i="56"/>
  <c r="G64" i="56"/>
  <c r="F64" i="56"/>
  <c r="E64" i="56"/>
  <c r="D64" i="56"/>
  <c r="K64" i="56" s="1"/>
  <c r="J63" i="56"/>
  <c r="I63" i="56"/>
  <c r="H63" i="56"/>
  <c r="G63" i="56"/>
  <c r="F63" i="56"/>
  <c r="E63" i="56"/>
  <c r="D63" i="56"/>
  <c r="K63" i="56" s="1"/>
  <c r="J62" i="56"/>
  <c r="I62" i="56"/>
  <c r="H62" i="56"/>
  <c r="H66" i="56" s="1"/>
  <c r="G62" i="56"/>
  <c r="G66" i="56" s="1"/>
  <c r="F62" i="56"/>
  <c r="E62" i="56"/>
  <c r="D62" i="56"/>
  <c r="D66" i="56" s="1"/>
  <c r="J61" i="56"/>
  <c r="J65" i="56" s="1"/>
  <c r="I61" i="56"/>
  <c r="H61" i="56"/>
  <c r="G61" i="56"/>
  <c r="G65" i="56" s="1"/>
  <c r="F61" i="56"/>
  <c r="F65" i="56" s="1"/>
  <c r="E61" i="56"/>
  <c r="D61" i="56"/>
  <c r="D65" i="56" s="1"/>
  <c r="G57" i="56"/>
  <c r="J55" i="56"/>
  <c r="I55" i="56"/>
  <c r="H55" i="56"/>
  <c r="G55" i="56"/>
  <c r="F55" i="56"/>
  <c r="E55" i="56"/>
  <c r="D55" i="56"/>
  <c r="J54" i="56"/>
  <c r="I54" i="56"/>
  <c r="H54" i="56"/>
  <c r="G54" i="56"/>
  <c r="F54" i="56"/>
  <c r="E54" i="56"/>
  <c r="D54" i="56"/>
  <c r="J53" i="56"/>
  <c r="I53" i="56"/>
  <c r="H53" i="56"/>
  <c r="H57" i="56" s="1"/>
  <c r="G53" i="56"/>
  <c r="F53" i="56"/>
  <c r="F57" i="56" s="1"/>
  <c r="E53" i="56"/>
  <c r="D53" i="56"/>
  <c r="D57" i="56" s="1"/>
  <c r="J52" i="56"/>
  <c r="J56" i="56" s="1"/>
  <c r="I52" i="56"/>
  <c r="H52" i="56"/>
  <c r="G52" i="56"/>
  <c r="K52" i="56" s="1"/>
  <c r="F52" i="56"/>
  <c r="F56" i="56" s="1"/>
  <c r="E52" i="56"/>
  <c r="D52" i="56"/>
  <c r="D56" i="56" s="1"/>
  <c r="J51" i="56"/>
  <c r="I51" i="56"/>
  <c r="H51" i="56"/>
  <c r="G51" i="56"/>
  <c r="F51" i="56"/>
  <c r="E51" i="56"/>
  <c r="D51" i="56"/>
  <c r="J50" i="56"/>
  <c r="I50" i="56"/>
  <c r="H50" i="56"/>
  <c r="G50" i="56"/>
  <c r="F50" i="56"/>
  <c r="E50" i="56"/>
  <c r="D50" i="56"/>
  <c r="K51" i="56"/>
  <c r="J40" i="56"/>
  <c r="I40" i="56"/>
  <c r="H40" i="56"/>
  <c r="G40" i="56"/>
  <c r="F40" i="56"/>
  <c r="E40" i="56"/>
  <c r="D40" i="56"/>
  <c r="J39" i="56"/>
  <c r="I39" i="56"/>
  <c r="H39" i="56"/>
  <c r="G39" i="56"/>
  <c r="F39" i="56"/>
  <c r="E39" i="56"/>
  <c r="D39" i="56"/>
  <c r="J38" i="56"/>
  <c r="I38" i="56"/>
  <c r="H38" i="56"/>
  <c r="H42" i="56" s="1"/>
  <c r="G38" i="56"/>
  <c r="G42" i="56" s="1"/>
  <c r="F38" i="56"/>
  <c r="E38" i="56"/>
  <c r="D38" i="56"/>
  <c r="D42" i="56" s="1"/>
  <c r="J37" i="56"/>
  <c r="I37" i="56"/>
  <c r="H37" i="56"/>
  <c r="H41" i="56" s="1"/>
  <c r="G37" i="56"/>
  <c r="G41" i="56" s="1"/>
  <c r="F37" i="56"/>
  <c r="E37" i="56"/>
  <c r="E41" i="56" s="1"/>
  <c r="D37" i="56"/>
  <c r="D41" i="56" s="1"/>
  <c r="J36" i="56"/>
  <c r="I36" i="56"/>
  <c r="H36" i="56"/>
  <c r="G36" i="56"/>
  <c r="F36" i="56"/>
  <c r="E36" i="56"/>
  <c r="D36" i="56"/>
  <c r="J35" i="56"/>
  <c r="I35" i="56"/>
  <c r="H35" i="56"/>
  <c r="G35" i="56"/>
  <c r="F35" i="56"/>
  <c r="E35" i="56"/>
  <c r="D35" i="56"/>
  <c r="J25" i="56"/>
  <c r="J70" i="56" s="1"/>
  <c r="I25" i="56"/>
  <c r="I70" i="56" s="1"/>
  <c r="H25" i="56"/>
  <c r="H70" i="56" s="1"/>
  <c r="G25" i="56"/>
  <c r="F25" i="56"/>
  <c r="F70" i="56" s="1"/>
  <c r="E25" i="56"/>
  <c r="E70" i="56" s="1"/>
  <c r="D25" i="56"/>
  <c r="J24" i="56"/>
  <c r="I24" i="56"/>
  <c r="I69" i="56" s="1"/>
  <c r="H24" i="56"/>
  <c r="H69" i="56" s="1"/>
  <c r="G24" i="56"/>
  <c r="G69" i="56" s="1"/>
  <c r="F24" i="56"/>
  <c r="E24" i="56"/>
  <c r="E69" i="56" s="1"/>
  <c r="D24" i="56"/>
  <c r="J23" i="56"/>
  <c r="I23" i="56"/>
  <c r="H23" i="56"/>
  <c r="H68" i="56" s="1"/>
  <c r="H72" i="56" s="1"/>
  <c r="G23" i="56"/>
  <c r="G27" i="56" s="1"/>
  <c r="F23" i="56"/>
  <c r="E23" i="56"/>
  <c r="D23" i="56"/>
  <c r="K23" i="56" s="1"/>
  <c r="J22" i="56"/>
  <c r="J67" i="56" s="1"/>
  <c r="I22" i="56"/>
  <c r="H22" i="56"/>
  <c r="H67" i="56" s="1"/>
  <c r="G22" i="56"/>
  <c r="G26" i="56" s="1"/>
  <c r="F22" i="56"/>
  <c r="F67" i="56" s="1"/>
  <c r="E22" i="56"/>
  <c r="D22" i="56"/>
  <c r="J21" i="56"/>
  <c r="I21" i="56"/>
  <c r="H21" i="56"/>
  <c r="G21" i="56"/>
  <c r="F21" i="56"/>
  <c r="E21" i="56"/>
  <c r="D21" i="56"/>
  <c r="J20" i="56"/>
  <c r="I20" i="56"/>
  <c r="H20" i="56"/>
  <c r="G20" i="56"/>
  <c r="F20" i="56"/>
  <c r="E20" i="56"/>
  <c r="D20" i="56"/>
  <c r="K20" i="56"/>
  <c r="J191" i="55"/>
  <c r="I191" i="55"/>
  <c r="H191" i="55"/>
  <c r="G191" i="55"/>
  <c r="F191" i="55"/>
  <c r="E191" i="55"/>
  <c r="D191" i="55"/>
  <c r="K190" i="55"/>
  <c r="K189" i="55"/>
  <c r="K188" i="55"/>
  <c r="J184" i="55"/>
  <c r="I184" i="55"/>
  <c r="H184" i="55"/>
  <c r="G184" i="55"/>
  <c r="F184" i="55"/>
  <c r="E184" i="55"/>
  <c r="D184" i="55"/>
  <c r="J183" i="55"/>
  <c r="I183" i="55"/>
  <c r="H183" i="55"/>
  <c r="G183" i="55"/>
  <c r="F183" i="55"/>
  <c r="E183" i="55"/>
  <c r="D183" i="55"/>
  <c r="K178" i="55"/>
  <c r="K177" i="55"/>
  <c r="K176" i="55"/>
  <c r="K175" i="55"/>
  <c r="K174" i="55"/>
  <c r="K184" i="55" s="1"/>
  <c r="K173" i="55"/>
  <c r="K172" i="55"/>
  <c r="K171" i="55"/>
  <c r="J159" i="55"/>
  <c r="I159" i="55"/>
  <c r="H159" i="55"/>
  <c r="G159" i="55"/>
  <c r="F159" i="55"/>
  <c r="E159" i="55"/>
  <c r="D159" i="55"/>
  <c r="J158" i="55"/>
  <c r="I158" i="55"/>
  <c r="H158" i="55"/>
  <c r="G158" i="55"/>
  <c r="F158" i="55"/>
  <c r="E158" i="55"/>
  <c r="D158" i="55"/>
  <c r="K157" i="55"/>
  <c r="K156" i="55"/>
  <c r="K158" i="55" s="1"/>
  <c r="K155" i="55"/>
  <c r="K159" i="55" s="1"/>
  <c r="K154" i="55"/>
  <c r="J146" i="55"/>
  <c r="I146" i="55"/>
  <c r="H146" i="55"/>
  <c r="G146" i="55"/>
  <c r="F146" i="55"/>
  <c r="E146" i="55"/>
  <c r="D146" i="55"/>
  <c r="K145" i="55"/>
  <c r="K144" i="55"/>
  <c r="K146" i="55" s="1"/>
  <c r="J141" i="55"/>
  <c r="I141" i="55"/>
  <c r="H141" i="55"/>
  <c r="G141" i="55"/>
  <c r="F141" i="55"/>
  <c r="E141" i="55"/>
  <c r="D141" i="55"/>
  <c r="K140" i="55"/>
  <c r="K141" i="55" s="1"/>
  <c r="J137" i="55"/>
  <c r="I137" i="55"/>
  <c r="H137" i="55"/>
  <c r="G137" i="55"/>
  <c r="F137" i="55"/>
  <c r="E137" i="55"/>
  <c r="D137" i="55"/>
  <c r="K136" i="55"/>
  <c r="K135" i="55"/>
  <c r="K134" i="55"/>
  <c r="K137" i="55" s="1"/>
  <c r="G123" i="55"/>
  <c r="G54" i="24" s="1"/>
  <c r="F123" i="55"/>
  <c r="G53" i="24" s="1"/>
  <c r="E123" i="55"/>
  <c r="G52" i="24" s="1"/>
  <c r="D123" i="55"/>
  <c r="J95" i="55"/>
  <c r="I95" i="55"/>
  <c r="H95" i="55"/>
  <c r="G95" i="55"/>
  <c r="F95" i="55"/>
  <c r="E95" i="55"/>
  <c r="D95" i="55"/>
  <c r="K94" i="55"/>
  <c r="K93" i="55"/>
  <c r="K92" i="55"/>
  <c r="K91" i="55"/>
  <c r="K90" i="55"/>
  <c r="K89" i="55"/>
  <c r="K88" i="55"/>
  <c r="K87" i="55"/>
  <c r="G69" i="55"/>
  <c r="J64" i="55"/>
  <c r="I64" i="55"/>
  <c r="H64" i="55"/>
  <c r="G64" i="55"/>
  <c r="F64" i="55"/>
  <c r="E64" i="55"/>
  <c r="D64" i="55"/>
  <c r="J63" i="55"/>
  <c r="I63" i="55"/>
  <c r="H63" i="55"/>
  <c r="G63" i="55"/>
  <c r="F63" i="55"/>
  <c r="E63" i="55"/>
  <c r="D63" i="55"/>
  <c r="J62" i="55"/>
  <c r="I62" i="55"/>
  <c r="I66" i="55" s="1"/>
  <c r="H62" i="55"/>
  <c r="H66" i="55" s="1"/>
  <c r="G62" i="55"/>
  <c r="F62" i="55"/>
  <c r="E62" i="55"/>
  <c r="E66" i="55" s="1"/>
  <c r="D62" i="55"/>
  <c r="D66" i="55" s="1"/>
  <c r="J61" i="55"/>
  <c r="J65" i="55" s="1"/>
  <c r="I61" i="55"/>
  <c r="H61" i="55"/>
  <c r="H65" i="55" s="1"/>
  <c r="G61" i="55"/>
  <c r="K61" i="55" s="1"/>
  <c r="F61" i="55"/>
  <c r="F65" i="55" s="1"/>
  <c r="E61" i="55"/>
  <c r="D61" i="55"/>
  <c r="D65" i="55" s="1"/>
  <c r="F57" i="55"/>
  <c r="J55" i="55"/>
  <c r="I55" i="55"/>
  <c r="H55" i="55"/>
  <c r="G55" i="55"/>
  <c r="F55" i="55"/>
  <c r="E55" i="55"/>
  <c r="D55" i="55"/>
  <c r="J54" i="55"/>
  <c r="I54" i="55"/>
  <c r="H54" i="55"/>
  <c r="G54" i="55"/>
  <c r="F54" i="55"/>
  <c r="K54" i="55" s="1"/>
  <c r="E54" i="55"/>
  <c r="D54" i="55"/>
  <c r="J53" i="55"/>
  <c r="J57" i="55" s="1"/>
  <c r="I53" i="55"/>
  <c r="I57" i="55" s="1"/>
  <c r="H53" i="55"/>
  <c r="H57" i="55" s="1"/>
  <c r="G53" i="55"/>
  <c r="F53" i="55"/>
  <c r="E53" i="55"/>
  <c r="E57" i="55" s="1"/>
  <c r="D53" i="55"/>
  <c r="D57" i="55" s="1"/>
  <c r="J52" i="55"/>
  <c r="I52" i="55"/>
  <c r="I56" i="55" s="1"/>
  <c r="H52" i="55"/>
  <c r="H56" i="55" s="1"/>
  <c r="G52" i="55"/>
  <c r="G56" i="55" s="1"/>
  <c r="F52" i="55"/>
  <c r="E52" i="55"/>
  <c r="E56" i="55" s="1"/>
  <c r="D52" i="55"/>
  <c r="D56" i="55" s="1"/>
  <c r="J51" i="55"/>
  <c r="I51" i="55"/>
  <c r="H51" i="55"/>
  <c r="G51" i="55"/>
  <c r="F51" i="55"/>
  <c r="E51" i="55"/>
  <c r="D51" i="55"/>
  <c r="J50" i="55"/>
  <c r="I50" i="55"/>
  <c r="H50" i="55"/>
  <c r="G50" i="55"/>
  <c r="F50" i="55"/>
  <c r="E50" i="55"/>
  <c r="D50" i="55"/>
  <c r="K49" i="55"/>
  <c r="K51" i="55" s="1"/>
  <c r="K48" i="55"/>
  <c r="K50" i="55" s="1"/>
  <c r="K47" i="55"/>
  <c r="K46" i="55"/>
  <c r="J40" i="55"/>
  <c r="J42" i="55" s="1"/>
  <c r="I40" i="55"/>
  <c r="H40" i="55"/>
  <c r="G40" i="55"/>
  <c r="F40" i="55"/>
  <c r="E40" i="55"/>
  <c r="D40" i="55"/>
  <c r="J39" i="55"/>
  <c r="J41" i="55" s="1"/>
  <c r="I39" i="55"/>
  <c r="I41" i="55" s="1"/>
  <c r="H39" i="55"/>
  <c r="G39" i="55"/>
  <c r="F39" i="55"/>
  <c r="E39" i="55"/>
  <c r="K39" i="55" s="1"/>
  <c r="D39" i="55"/>
  <c r="J38" i="55"/>
  <c r="I38" i="55"/>
  <c r="I42" i="55" s="1"/>
  <c r="H38" i="55"/>
  <c r="H42" i="55" s="1"/>
  <c r="G38" i="55"/>
  <c r="F38" i="55"/>
  <c r="E38" i="55"/>
  <c r="D38" i="55"/>
  <c r="D42" i="55" s="1"/>
  <c r="J37" i="55"/>
  <c r="I37" i="55"/>
  <c r="H37" i="55"/>
  <c r="H41" i="55" s="1"/>
  <c r="G37" i="55"/>
  <c r="G41" i="55" s="1"/>
  <c r="F37" i="55"/>
  <c r="E37" i="55"/>
  <c r="D37" i="55"/>
  <c r="D41" i="55" s="1"/>
  <c r="J36" i="55"/>
  <c r="I36" i="55"/>
  <c r="H36" i="55"/>
  <c r="G36" i="55"/>
  <c r="F36" i="55"/>
  <c r="E36" i="55"/>
  <c r="D36" i="55"/>
  <c r="J35" i="55"/>
  <c r="I35" i="55"/>
  <c r="H35" i="55"/>
  <c r="G35" i="55"/>
  <c r="F35" i="55"/>
  <c r="E35" i="55"/>
  <c r="D35" i="55"/>
  <c r="K34" i="55"/>
  <c r="K33" i="55"/>
  <c r="K35" i="55" s="1"/>
  <c r="K32" i="55"/>
  <c r="K36" i="55" s="1"/>
  <c r="K31" i="55"/>
  <c r="J25" i="55"/>
  <c r="I25" i="55"/>
  <c r="I70" i="55" s="1"/>
  <c r="H25" i="55"/>
  <c r="H70" i="55" s="1"/>
  <c r="G25" i="55"/>
  <c r="G70" i="55" s="1"/>
  <c r="F25" i="55"/>
  <c r="E25" i="55"/>
  <c r="E70" i="55" s="1"/>
  <c r="D25" i="55"/>
  <c r="J24" i="55"/>
  <c r="I24" i="55"/>
  <c r="H24" i="55"/>
  <c r="H69" i="55" s="1"/>
  <c r="G24" i="55"/>
  <c r="F24" i="55"/>
  <c r="E24" i="55"/>
  <c r="D24" i="55"/>
  <c r="J23" i="55"/>
  <c r="J68" i="55" s="1"/>
  <c r="I23" i="55"/>
  <c r="H23" i="55"/>
  <c r="G23" i="55"/>
  <c r="G27" i="55" s="1"/>
  <c r="F23" i="55"/>
  <c r="F68" i="55" s="1"/>
  <c r="E23" i="55"/>
  <c r="D23" i="55"/>
  <c r="J22" i="55"/>
  <c r="I22" i="55"/>
  <c r="I67" i="55" s="1"/>
  <c r="H22" i="55"/>
  <c r="G22" i="55"/>
  <c r="G26" i="55" s="1"/>
  <c r="F22" i="55"/>
  <c r="E22" i="55"/>
  <c r="E67" i="55" s="1"/>
  <c r="D22" i="55"/>
  <c r="J21" i="55"/>
  <c r="I21" i="55"/>
  <c r="H21" i="55"/>
  <c r="G21" i="55"/>
  <c r="F21" i="55"/>
  <c r="E21" i="55"/>
  <c r="D21" i="55"/>
  <c r="J20" i="55"/>
  <c r="I20" i="55"/>
  <c r="H20" i="55"/>
  <c r="G20" i="55"/>
  <c r="F20" i="55"/>
  <c r="E20" i="55"/>
  <c r="D20" i="55"/>
  <c r="K19" i="55"/>
  <c r="K18" i="55"/>
  <c r="K17" i="55"/>
  <c r="K21" i="55" s="1"/>
  <c r="K16" i="55"/>
  <c r="K20" i="55" s="1"/>
  <c r="J191" i="54"/>
  <c r="I191" i="54"/>
  <c r="H191" i="54"/>
  <c r="G191" i="54"/>
  <c r="F191" i="54"/>
  <c r="E191" i="54"/>
  <c r="D191" i="54"/>
  <c r="K190" i="54"/>
  <c r="K189" i="54"/>
  <c r="K188" i="54"/>
  <c r="K191" i="54" s="1"/>
  <c r="J184" i="54"/>
  <c r="I184" i="54"/>
  <c r="H184" i="54"/>
  <c r="G184" i="54"/>
  <c r="F184" i="54"/>
  <c r="E184" i="54"/>
  <c r="D184" i="54"/>
  <c r="J183" i="54"/>
  <c r="I183" i="54"/>
  <c r="H183" i="54"/>
  <c r="G183" i="54"/>
  <c r="F183" i="54"/>
  <c r="E183" i="54"/>
  <c r="D183" i="54"/>
  <c r="K178" i="54"/>
  <c r="K177" i="54"/>
  <c r="K176" i="54"/>
  <c r="K175" i="54"/>
  <c r="K174" i="54"/>
  <c r="K173" i="54"/>
  <c r="K172" i="54"/>
  <c r="K171" i="54"/>
  <c r="K183" i="54" s="1"/>
  <c r="J159" i="54"/>
  <c r="I159" i="54"/>
  <c r="H159" i="54"/>
  <c r="G159" i="54"/>
  <c r="F159" i="54"/>
  <c r="E159" i="54"/>
  <c r="D159" i="54"/>
  <c r="J158" i="54"/>
  <c r="I158" i="54"/>
  <c r="H158" i="54"/>
  <c r="G158" i="54"/>
  <c r="F158" i="54"/>
  <c r="E158" i="54"/>
  <c r="D158" i="54"/>
  <c r="K157" i="54"/>
  <c r="K156" i="54"/>
  <c r="K155" i="54"/>
  <c r="K159" i="54" s="1"/>
  <c r="K154" i="54"/>
  <c r="J146" i="54"/>
  <c r="I146" i="54"/>
  <c r="H146" i="54"/>
  <c r="G146" i="54"/>
  <c r="F146" i="54"/>
  <c r="E146" i="54"/>
  <c r="D146" i="54"/>
  <c r="K145" i="54"/>
  <c r="K144" i="54"/>
  <c r="K146" i="54" s="1"/>
  <c r="J141" i="54"/>
  <c r="I141" i="54"/>
  <c r="H141" i="54"/>
  <c r="G141" i="54"/>
  <c r="F141" i="54"/>
  <c r="E141" i="54"/>
  <c r="D141" i="54"/>
  <c r="K140" i="54"/>
  <c r="K141" i="54" s="1"/>
  <c r="J137" i="54"/>
  <c r="I137" i="54"/>
  <c r="H137" i="54"/>
  <c r="G137" i="54"/>
  <c r="F137" i="54"/>
  <c r="E137" i="54"/>
  <c r="D137" i="54"/>
  <c r="K136" i="54"/>
  <c r="K135" i="54"/>
  <c r="K134" i="54"/>
  <c r="K137" i="54" s="1"/>
  <c r="G123" i="54"/>
  <c r="F54" i="24" s="1"/>
  <c r="F123" i="54"/>
  <c r="F53" i="24" s="1"/>
  <c r="E123" i="54"/>
  <c r="F52" i="24" s="1"/>
  <c r="D123" i="54"/>
  <c r="F51" i="24" s="1"/>
  <c r="J95" i="54"/>
  <c r="I95" i="54"/>
  <c r="H95" i="54"/>
  <c r="G95" i="54"/>
  <c r="F95" i="54"/>
  <c r="E95" i="54"/>
  <c r="D95" i="54"/>
  <c r="K94" i="54"/>
  <c r="K93" i="54"/>
  <c r="K92" i="54"/>
  <c r="K91" i="54"/>
  <c r="K90" i="54"/>
  <c r="K89" i="54"/>
  <c r="K88" i="54"/>
  <c r="K87" i="54"/>
  <c r="K95" i="54" s="1"/>
  <c r="J64" i="54"/>
  <c r="I64" i="54"/>
  <c r="H64" i="54"/>
  <c r="G64" i="54"/>
  <c r="F64" i="54"/>
  <c r="E64" i="54"/>
  <c r="D64" i="54"/>
  <c r="K64" i="54" s="1"/>
  <c r="J63" i="54"/>
  <c r="I63" i="54"/>
  <c r="H63" i="54"/>
  <c r="G63" i="54"/>
  <c r="K63" i="54" s="1"/>
  <c r="F63" i="54"/>
  <c r="E63" i="54"/>
  <c r="D63" i="54"/>
  <c r="J62" i="54"/>
  <c r="J66" i="54" s="1"/>
  <c r="I62" i="54"/>
  <c r="I66" i="54" s="1"/>
  <c r="H62" i="54"/>
  <c r="G62" i="54"/>
  <c r="G66" i="54" s="1"/>
  <c r="F62" i="54"/>
  <c r="F66" i="54" s="1"/>
  <c r="E62" i="54"/>
  <c r="E66" i="54" s="1"/>
  <c r="D62" i="54"/>
  <c r="J61" i="54"/>
  <c r="J65" i="54" s="1"/>
  <c r="I61" i="54"/>
  <c r="I65" i="54" s="1"/>
  <c r="H61" i="54"/>
  <c r="H65" i="54" s="1"/>
  <c r="G61" i="54"/>
  <c r="F61" i="54"/>
  <c r="F65" i="54" s="1"/>
  <c r="E61" i="54"/>
  <c r="E65" i="54" s="1"/>
  <c r="D61" i="54"/>
  <c r="D65" i="54" s="1"/>
  <c r="J55" i="54"/>
  <c r="I55" i="54"/>
  <c r="H55" i="54"/>
  <c r="G55" i="54"/>
  <c r="F55" i="54"/>
  <c r="E55" i="54"/>
  <c r="D55" i="54"/>
  <c r="J54" i="54"/>
  <c r="I54" i="54"/>
  <c r="H54" i="54"/>
  <c r="G54" i="54"/>
  <c r="F54" i="54"/>
  <c r="E54" i="54"/>
  <c r="D54" i="54"/>
  <c r="K54" i="54" s="1"/>
  <c r="J53" i="54"/>
  <c r="J57" i="54" s="1"/>
  <c r="I53" i="54"/>
  <c r="H53" i="54"/>
  <c r="H57" i="54" s="1"/>
  <c r="G53" i="54"/>
  <c r="G57" i="54" s="1"/>
  <c r="F53" i="54"/>
  <c r="F57" i="54" s="1"/>
  <c r="E53" i="54"/>
  <c r="D53" i="54"/>
  <c r="D57" i="54" s="1"/>
  <c r="J52" i="54"/>
  <c r="J56" i="54" s="1"/>
  <c r="I52" i="54"/>
  <c r="I56" i="54" s="1"/>
  <c r="H52" i="54"/>
  <c r="G52" i="54"/>
  <c r="G56" i="54" s="1"/>
  <c r="F52" i="54"/>
  <c r="F56" i="54" s="1"/>
  <c r="E52" i="54"/>
  <c r="E56" i="54" s="1"/>
  <c r="D52" i="54"/>
  <c r="J51" i="54"/>
  <c r="I51" i="54"/>
  <c r="H51" i="54"/>
  <c r="G51" i="54"/>
  <c r="F51" i="54"/>
  <c r="E51" i="54"/>
  <c r="D51" i="54"/>
  <c r="J50" i="54"/>
  <c r="I50" i="54"/>
  <c r="H50" i="54"/>
  <c r="G50" i="54"/>
  <c r="F50" i="54"/>
  <c r="E50" i="54"/>
  <c r="D50" i="54"/>
  <c r="K49" i="54"/>
  <c r="K48" i="54"/>
  <c r="K47" i="54"/>
  <c r="K46" i="54"/>
  <c r="K50" i="54" s="1"/>
  <c r="J40" i="54"/>
  <c r="I40" i="54"/>
  <c r="H40" i="54"/>
  <c r="G40" i="54"/>
  <c r="F40" i="54"/>
  <c r="E40" i="54"/>
  <c r="D40" i="54"/>
  <c r="J39" i="54"/>
  <c r="I39" i="54"/>
  <c r="H39" i="54"/>
  <c r="G39" i="54"/>
  <c r="F39" i="54"/>
  <c r="E39" i="54"/>
  <c r="D39" i="54"/>
  <c r="J38" i="54"/>
  <c r="J42" i="54" s="1"/>
  <c r="I38" i="54"/>
  <c r="I42" i="54" s="1"/>
  <c r="H38" i="54"/>
  <c r="H42" i="54" s="1"/>
  <c r="G38" i="54"/>
  <c r="F38" i="54"/>
  <c r="F42" i="54" s="1"/>
  <c r="E38" i="54"/>
  <c r="K38" i="54" s="1"/>
  <c r="D38" i="54"/>
  <c r="D42" i="54" s="1"/>
  <c r="J37" i="54"/>
  <c r="I37" i="54"/>
  <c r="I41" i="54" s="1"/>
  <c r="H37" i="54"/>
  <c r="H41" i="54" s="1"/>
  <c r="G37" i="54"/>
  <c r="G41" i="54" s="1"/>
  <c r="F37" i="54"/>
  <c r="E37" i="54"/>
  <c r="D37" i="54"/>
  <c r="D41" i="54" s="1"/>
  <c r="J36" i="54"/>
  <c r="I36" i="54"/>
  <c r="H36" i="54"/>
  <c r="G36" i="54"/>
  <c r="F36" i="54"/>
  <c r="E36" i="54"/>
  <c r="D36" i="54"/>
  <c r="K35" i="54"/>
  <c r="J35" i="54"/>
  <c r="I35" i="54"/>
  <c r="H35" i="54"/>
  <c r="G35" i="54"/>
  <c r="F35" i="54"/>
  <c r="E35" i="54"/>
  <c r="D35" i="54"/>
  <c r="K34" i="54"/>
  <c r="K33" i="54"/>
  <c r="K32" i="54"/>
  <c r="K31" i="54"/>
  <c r="J25" i="54"/>
  <c r="J70" i="54" s="1"/>
  <c r="I25" i="54"/>
  <c r="H25" i="54"/>
  <c r="H70" i="54" s="1"/>
  <c r="G25" i="54"/>
  <c r="G70" i="54" s="1"/>
  <c r="F25" i="54"/>
  <c r="F70" i="54" s="1"/>
  <c r="E25" i="54"/>
  <c r="D25" i="54"/>
  <c r="J24" i="54"/>
  <c r="I24" i="54"/>
  <c r="I69" i="54" s="1"/>
  <c r="H24" i="54"/>
  <c r="G24" i="54"/>
  <c r="G69" i="54" s="1"/>
  <c r="F24" i="54"/>
  <c r="E24" i="54"/>
  <c r="E69" i="54" s="1"/>
  <c r="D24" i="54"/>
  <c r="J23" i="54"/>
  <c r="J68" i="54" s="1"/>
  <c r="I23" i="54"/>
  <c r="H23" i="54"/>
  <c r="H68" i="54" s="1"/>
  <c r="H72" i="54" s="1"/>
  <c r="G23" i="54"/>
  <c r="G27" i="54" s="1"/>
  <c r="F23" i="54"/>
  <c r="F68" i="54" s="1"/>
  <c r="E23" i="54"/>
  <c r="D23" i="54"/>
  <c r="K23" i="54" s="1"/>
  <c r="J22" i="54"/>
  <c r="I22" i="54"/>
  <c r="I67" i="54" s="1"/>
  <c r="H22" i="54"/>
  <c r="G22" i="54"/>
  <c r="G26" i="54" s="1"/>
  <c r="F22" i="54"/>
  <c r="E22" i="54"/>
  <c r="E67" i="54" s="1"/>
  <c r="D22" i="54"/>
  <c r="J21" i="54"/>
  <c r="I21" i="54"/>
  <c r="H21" i="54"/>
  <c r="G21" i="54"/>
  <c r="F21" i="54"/>
  <c r="E21" i="54"/>
  <c r="D21" i="54"/>
  <c r="J20" i="54"/>
  <c r="I20" i="54"/>
  <c r="H20" i="54"/>
  <c r="G20" i="54"/>
  <c r="F20" i="54"/>
  <c r="E20" i="54"/>
  <c r="D20" i="54"/>
  <c r="K19" i="54"/>
  <c r="K18" i="54"/>
  <c r="K17" i="54"/>
  <c r="K21" i="54" s="1"/>
  <c r="K16" i="54"/>
  <c r="K20" i="54" s="1"/>
  <c r="K191" i="50"/>
  <c r="D95" i="50"/>
  <c r="E95" i="50"/>
  <c r="D64" i="50"/>
  <c r="D63" i="50"/>
  <c r="D62" i="50"/>
  <c r="K62" i="50" s="1"/>
  <c r="D61" i="50"/>
  <c r="K61" i="50" s="1"/>
  <c r="J55" i="50"/>
  <c r="I55" i="50"/>
  <c r="H55" i="50"/>
  <c r="G55" i="50"/>
  <c r="F55" i="50"/>
  <c r="E55" i="50"/>
  <c r="D55" i="50"/>
  <c r="J54" i="50"/>
  <c r="I54" i="50"/>
  <c r="I69" i="50" s="1"/>
  <c r="H54" i="50"/>
  <c r="G54" i="50"/>
  <c r="F54" i="50"/>
  <c r="E54" i="50"/>
  <c r="D54" i="50"/>
  <c r="J53" i="50"/>
  <c r="I53" i="50"/>
  <c r="I57" i="50" s="1"/>
  <c r="H53" i="50"/>
  <c r="H57" i="50" s="1"/>
  <c r="G53" i="50"/>
  <c r="G57" i="50" s="1"/>
  <c r="F53" i="50"/>
  <c r="E53" i="50"/>
  <c r="E57" i="50" s="1"/>
  <c r="D53" i="50"/>
  <c r="K53" i="50" s="1"/>
  <c r="J52" i="50"/>
  <c r="J56" i="50" s="1"/>
  <c r="I52" i="50"/>
  <c r="H52" i="50"/>
  <c r="H56" i="50" s="1"/>
  <c r="G52" i="50"/>
  <c r="G56" i="50" s="1"/>
  <c r="F52" i="50"/>
  <c r="F56" i="50" s="1"/>
  <c r="E52" i="50"/>
  <c r="D52" i="50"/>
  <c r="J51" i="50"/>
  <c r="I51" i="50"/>
  <c r="H51" i="50"/>
  <c r="G51" i="50"/>
  <c r="F51" i="50"/>
  <c r="E51" i="50"/>
  <c r="D51" i="50"/>
  <c r="J50" i="50"/>
  <c r="I50" i="50"/>
  <c r="H50" i="50"/>
  <c r="G50" i="50"/>
  <c r="F50" i="50"/>
  <c r="E50" i="50"/>
  <c r="D50" i="50"/>
  <c r="K49" i="50"/>
  <c r="K48" i="50"/>
  <c r="K47" i="50"/>
  <c r="K51" i="50" s="1"/>
  <c r="K46" i="50"/>
  <c r="K50" i="50" s="1"/>
  <c r="J40" i="50"/>
  <c r="I40" i="50"/>
  <c r="H40" i="50"/>
  <c r="G40" i="50"/>
  <c r="F40" i="50"/>
  <c r="E40" i="50"/>
  <c r="D40" i="50"/>
  <c r="K40" i="50" s="1"/>
  <c r="J39" i="50"/>
  <c r="I39" i="50"/>
  <c r="H39" i="50"/>
  <c r="G39" i="50"/>
  <c r="F39" i="50"/>
  <c r="E39" i="50"/>
  <c r="D39" i="50"/>
  <c r="J38" i="50"/>
  <c r="J42" i="50" s="1"/>
  <c r="I38" i="50"/>
  <c r="I42" i="50" s="1"/>
  <c r="H38" i="50"/>
  <c r="G38" i="50"/>
  <c r="G42" i="50" s="1"/>
  <c r="F38" i="50"/>
  <c r="F42" i="50" s="1"/>
  <c r="E38" i="50"/>
  <c r="E42" i="50" s="1"/>
  <c r="D38" i="50"/>
  <c r="J37" i="50"/>
  <c r="J41" i="50" s="1"/>
  <c r="I37" i="50"/>
  <c r="I41" i="50" s="1"/>
  <c r="H37" i="50"/>
  <c r="H41" i="50" s="1"/>
  <c r="G37" i="50"/>
  <c r="F37" i="50"/>
  <c r="F41" i="50" s="1"/>
  <c r="E37" i="50"/>
  <c r="E41" i="50" s="1"/>
  <c r="D37" i="50"/>
  <c r="J36" i="50"/>
  <c r="I36" i="50"/>
  <c r="H36" i="50"/>
  <c r="G36" i="50"/>
  <c r="F36" i="50"/>
  <c r="E36" i="50"/>
  <c r="D36" i="50"/>
  <c r="J35" i="50"/>
  <c r="I35" i="50"/>
  <c r="H35" i="50"/>
  <c r="G35" i="50"/>
  <c r="F35" i="50"/>
  <c r="E35" i="50"/>
  <c r="D35" i="50"/>
  <c r="K34" i="50"/>
  <c r="K33" i="50"/>
  <c r="K32" i="50"/>
  <c r="K31" i="50"/>
  <c r="K16" i="50"/>
  <c r="K19" i="50"/>
  <c r="K17" i="50"/>
  <c r="K21" i="50" s="1"/>
  <c r="K18" i="50"/>
  <c r="K20" i="50" s="1"/>
  <c r="E61" i="50"/>
  <c r="E62" i="50"/>
  <c r="E63" i="50"/>
  <c r="E65" i="50" s="1"/>
  <c r="E64" i="50"/>
  <c r="D65" i="50"/>
  <c r="D66" i="50"/>
  <c r="E66" i="50"/>
  <c r="E69" i="50"/>
  <c r="D22" i="50"/>
  <c r="D67" i="50" s="1"/>
  <c r="E22" i="50"/>
  <c r="E67" i="50" s="1"/>
  <c r="E71" i="50" s="1"/>
  <c r="D23" i="50"/>
  <c r="K23" i="50" s="1"/>
  <c r="E23" i="50"/>
  <c r="E68" i="50" s="1"/>
  <c r="E72" i="50" s="1"/>
  <c r="D24" i="50"/>
  <c r="D69" i="50" s="1"/>
  <c r="E24" i="50"/>
  <c r="D25" i="50"/>
  <c r="K25" i="50" s="1"/>
  <c r="E25" i="50"/>
  <c r="E70" i="50" s="1"/>
  <c r="J191" i="50"/>
  <c r="I191" i="50"/>
  <c r="H191" i="50"/>
  <c r="G191" i="50"/>
  <c r="F191" i="50"/>
  <c r="E191" i="50"/>
  <c r="D191" i="50"/>
  <c r="K190" i="50"/>
  <c r="K189" i="50"/>
  <c r="K188" i="50"/>
  <c r="J184" i="50"/>
  <c r="I184" i="50"/>
  <c r="H184" i="50"/>
  <c r="G184" i="50"/>
  <c r="F184" i="50"/>
  <c r="E184" i="50"/>
  <c r="D184" i="50"/>
  <c r="J183" i="50"/>
  <c r="I183" i="50"/>
  <c r="H183" i="50"/>
  <c r="G183" i="50"/>
  <c r="F183" i="50"/>
  <c r="E183" i="50"/>
  <c r="D183" i="50"/>
  <c r="K178" i="50"/>
  <c r="K177" i="50"/>
  <c r="K176" i="50"/>
  <c r="K175" i="50"/>
  <c r="K174" i="50"/>
  <c r="K173" i="50"/>
  <c r="K172" i="50"/>
  <c r="K184" i="50" s="1"/>
  <c r="K171" i="50"/>
  <c r="K183" i="50" s="1"/>
  <c r="J159" i="50"/>
  <c r="I159" i="50"/>
  <c r="H159" i="50"/>
  <c r="G159" i="50"/>
  <c r="F159" i="50"/>
  <c r="E159" i="50"/>
  <c r="D159" i="50"/>
  <c r="J158" i="50"/>
  <c r="I158" i="50"/>
  <c r="H158" i="50"/>
  <c r="G158" i="50"/>
  <c r="F158" i="50"/>
  <c r="E158" i="50"/>
  <c r="D158" i="50"/>
  <c r="K157" i="50"/>
  <c r="K156" i="50"/>
  <c r="K155" i="50"/>
  <c r="K154" i="50"/>
  <c r="J146" i="50"/>
  <c r="I146" i="50"/>
  <c r="H146" i="50"/>
  <c r="G146" i="50"/>
  <c r="F146" i="50"/>
  <c r="E146" i="50"/>
  <c r="D146" i="50"/>
  <c r="K145" i="50"/>
  <c r="K144" i="50"/>
  <c r="K146" i="50" s="1"/>
  <c r="J141" i="50"/>
  <c r="I141" i="50"/>
  <c r="H141" i="50"/>
  <c r="G141" i="50"/>
  <c r="F141" i="50"/>
  <c r="E141" i="50"/>
  <c r="D141" i="50"/>
  <c r="K140" i="50"/>
  <c r="K141" i="50" s="1"/>
  <c r="J137" i="50"/>
  <c r="I137" i="50"/>
  <c r="H137" i="50"/>
  <c r="G137" i="50"/>
  <c r="F137" i="50"/>
  <c r="E137" i="50"/>
  <c r="D137" i="50"/>
  <c r="K136" i="50"/>
  <c r="K137" i="50" s="1"/>
  <c r="K135" i="50"/>
  <c r="K134" i="50"/>
  <c r="G123" i="50"/>
  <c r="E54" i="24" s="1"/>
  <c r="F123" i="50"/>
  <c r="E53" i="24" s="1"/>
  <c r="E123" i="50"/>
  <c r="E52" i="24" s="1"/>
  <c r="D123" i="50"/>
  <c r="E51" i="24" s="1"/>
  <c r="J95" i="50"/>
  <c r="I95" i="50"/>
  <c r="H95" i="50"/>
  <c r="G95" i="50"/>
  <c r="F95" i="50"/>
  <c r="K94" i="50"/>
  <c r="K93" i="50"/>
  <c r="K92" i="50"/>
  <c r="K91" i="50"/>
  <c r="K90" i="50"/>
  <c r="K89" i="50"/>
  <c r="K88" i="50"/>
  <c r="K87" i="50"/>
  <c r="I68" i="50"/>
  <c r="J64" i="50"/>
  <c r="I64" i="50"/>
  <c r="H64" i="50"/>
  <c r="G64" i="50"/>
  <c r="F64" i="50"/>
  <c r="J63" i="50"/>
  <c r="I63" i="50"/>
  <c r="H63" i="50"/>
  <c r="G63" i="50"/>
  <c r="F63" i="50"/>
  <c r="J62" i="50"/>
  <c r="I62" i="50"/>
  <c r="H62" i="50"/>
  <c r="H66" i="50" s="1"/>
  <c r="G62" i="50"/>
  <c r="G66" i="50" s="1"/>
  <c r="F62" i="50"/>
  <c r="J61" i="50"/>
  <c r="I61" i="50"/>
  <c r="I65" i="50" s="1"/>
  <c r="H61" i="50"/>
  <c r="H65" i="50" s="1"/>
  <c r="G61" i="50"/>
  <c r="F61" i="50"/>
  <c r="J25" i="50"/>
  <c r="I25" i="50"/>
  <c r="I70" i="50" s="1"/>
  <c r="H25" i="50"/>
  <c r="G25" i="50"/>
  <c r="G70" i="50" s="1"/>
  <c r="F25" i="50"/>
  <c r="J24" i="50"/>
  <c r="J69" i="50" s="1"/>
  <c r="I24" i="50"/>
  <c r="H24" i="50"/>
  <c r="G24" i="50"/>
  <c r="F24" i="50"/>
  <c r="J23" i="50"/>
  <c r="I23" i="50"/>
  <c r="H23" i="50"/>
  <c r="G23" i="50"/>
  <c r="G27" i="50" s="1"/>
  <c r="F23" i="50"/>
  <c r="J22" i="50"/>
  <c r="I22" i="50"/>
  <c r="I26" i="50" s="1"/>
  <c r="H22" i="50"/>
  <c r="G22" i="50"/>
  <c r="F22" i="50"/>
  <c r="D26" i="50"/>
  <c r="J21" i="50"/>
  <c r="I21" i="50"/>
  <c r="H21" i="50"/>
  <c r="G21" i="50"/>
  <c r="F21" i="50"/>
  <c r="E21" i="50"/>
  <c r="D21" i="50"/>
  <c r="J20" i="50"/>
  <c r="I20" i="50"/>
  <c r="H20" i="50"/>
  <c r="G20" i="50"/>
  <c r="F20" i="50"/>
  <c r="E20" i="50"/>
  <c r="D20" i="50"/>
  <c r="K188" i="34"/>
  <c r="K134" i="34"/>
  <c r="D18" i="24" s="1"/>
  <c r="K145" i="34"/>
  <c r="D26" i="24" s="1"/>
  <c r="K144" i="34"/>
  <c r="D25" i="24" s="1"/>
  <c r="K140" i="34"/>
  <c r="K141" i="34" s="1"/>
  <c r="K135" i="34"/>
  <c r="D19" i="24" s="1"/>
  <c r="K136" i="34"/>
  <c r="G123" i="34"/>
  <c r="D54" i="24" s="1"/>
  <c r="F123" i="34"/>
  <c r="D53" i="24" s="1"/>
  <c r="E123" i="34"/>
  <c r="D52" i="24" s="1"/>
  <c r="D123" i="34"/>
  <c r="K103" i="34"/>
  <c r="K104" i="34"/>
  <c r="K110" i="34"/>
  <c r="K111" i="34"/>
  <c r="K112" i="34"/>
  <c r="K113" i="34"/>
  <c r="K114" i="34"/>
  <c r="K115" i="34"/>
  <c r="K116" i="34"/>
  <c r="K117" i="34"/>
  <c r="K118" i="34"/>
  <c r="K101" i="34"/>
  <c r="J103" i="34"/>
  <c r="J104" i="34"/>
  <c r="J110" i="34"/>
  <c r="J111" i="34"/>
  <c r="J112" i="34"/>
  <c r="J113" i="34"/>
  <c r="J114" i="34"/>
  <c r="J115" i="34"/>
  <c r="J116" i="34"/>
  <c r="J117" i="34"/>
  <c r="J118" i="34"/>
  <c r="F64" i="34"/>
  <c r="F63" i="34"/>
  <c r="K63" i="34" s="1"/>
  <c r="F62" i="34"/>
  <c r="K62" i="34" s="1"/>
  <c r="F61" i="34"/>
  <c r="J64" i="34"/>
  <c r="I64" i="34"/>
  <c r="H64" i="34"/>
  <c r="K64" i="34" s="1"/>
  <c r="G64" i="34"/>
  <c r="J63" i="34"/>
  <c r="I63" i="34"/>
  <c r="H63" i="34"/>
  <c r="G63" i="34"/>
  <c r="J62" i="34"/>
  <c r="J66" i="34" s="1"/>
  <c r="I62" i="34"/>
  <c r="I66" i="34" s="1"/>
  <c r="H62" i="34"/>
  <c r="G62" i="34"/>
  <c r="G66" i="34" s="1"/>
  <c r="J61" i="34"/>
  <c r="J65" i="34" s="1"/>
  <c r="I61" i="34"/>
  <c r="H61" i="34"/>
  <c r="K61" i="34" s="1"/>
  <c r="K65" i="34" s="1"/>
  <c r="D13" i="24" s="1"/>
  <c r="G61" i="34"/>
  <c r="G65" i="34" s="1"/>
  <c r="E95" i="34"/>
  <c r="F95" i="34"/>
  <c r="G95" i="34"/>
  <c r="H95" i="34"/>
  <c r="I95" i="34"/>
  <c r="J95" i="34"/>
  <c r="D95" i="34"/>
  <c r="K91" i="34"/>
  <c r="K92" i="34"/>
  <c r="K93" i="34"/>
  <c r="K94" i="34"/>
  <c r="E70" i="34"/>
  <c r="D70" i="34"/>
  <c r="E69" i="34"/>
  <c r="D69" i="34"/>
  <c r="E68" i="34"/>
  <c r="D68" i="34"/>
  <c r="E67" i="34"/>
  <c r="D67" i="34"/>
  <c r="E66" i="34"/>
  <c r="D66" i="34"/>
  <c r="E65" i="34"/>
  <c r="D65" i="34"/>
  <c r="K47" i="34"/>
  <c r="J55" i="34"/>
  <c r="I55" i="34"/>
  <c r="H55" i="34"/>
  <c r="G55" i="34"/>
  <c r="F55" i="34"/>
  <c r="E55" i="34"/>
  <c r="D55" i="34"/>
  <c r="J54" i="34"/>
  <c r="I54" i="34"/>
  <c r="H54" i="34"/>
  <c r="G54" i="34"/>
  <c r="F54" i="34"/>
  <c r="E54" i="34"/>
  <c r="D54" i="34"/>
  <c r="J53" i="34"/>
  <c r="I53" i="34"/>
  <c r="H53" i="34"/>
  <c r="G53" i="34"/>
  <c r="F53" i="34"/>
  <c r="E53" i="34"/>
  <c r="D53" i="34"/>
  <c r="J52" i="34"/>
  <c r="I52" i="34"/>
  <c r="H52" i="34"/>
  <c r="G52" i="34"/>
  <c r="F52" i="34"/>
  <c r="E52" i="34"/>
  <c r="D52" i="34"/>
  <c r="J51" i="34"/>
  <c r="I51" i="34"/>
  <c r="H51" i="34"/>
  <c r="G51" i="34"/>
  <c r="F51" i="34"/>
  <c r="E51" i="34"/>
  <c r="D51" i="34"/>
  <c r="J50" i="34"/>
  <c r="I50" i="34"/>
  <c r="H50" i="34"/>
  <c r="G50" i="34"/>
  <c r="F50" i="34"/>
  <c r="E50" i="34"/>
  <c r="D50" i="34"/>
  <c r="K49" i="34"/>
  <c r="K48" i="34"/>
  <c r="K46" i="34"/>
  <c r="K34" i="34"/>
  <c r="K32" i="34"/>
  <c r="K31" i="34"/>
  <c r="J40" i="34"/>
  <c r="I40" i="34"/>
  <c r="H40" i="34"/>
  <c r="G40" i="34"/>
  <c r="F40" i="34"/>
  <c r="E40" i="34"/>
  <c r="D40" i="34"/>
  <c r="J39" i="34"/>
  <c r="I39" i="34"/>
  <c r="H39" i="34"/>
  <c r="G39" i="34"/>
  <c r="F39" i="34"/>
  <c r="E39" i="34"/>
  <c r="D39" i="34"/>
  <c r="J38" i="34"/>
  <c r="I38" i="34"/>
  <c r="H38" i="34"/>
  <c r="G38" i="34"/>
  <c r="F38" i="34"/>
  <c r="E38" i="34"/>
  <c r="D38" i="34"/>
  <c r="J37" i="34"/>
  <c r="I37" i="34"/>
  <c r="H37" i="34"/>
  <c r="G37" i="34"/>
  <c r="F37" i="34"/>
  <c r="E37" i="34"/>
  <c r="D37" i="34"/>
  <c r="J36" i="34"/>
  <c r="I36" i="34"/>
  <c r="H36" i="34"/>
  <c r="G36" i="34"/>
  <c r="F36" i="34"/>
  <c r="E36" i="34"/>
  <c r="D36" i="34"/>
  <c r="J35" i="34"/>
  <c r="I35" i="34"/>
  <c r="H35" i="34"/>
  <c r="G35" i="34"/>
  <c r="F35" i="34"/>
  <c r="E35" i="34"/>
  <c r="D35" i="34"/>
  <c r="K33" i="34"/>
  <c r="K19" i="34"/>
  <c r="K18" i="34"/>
  <c r="K17" i="34"/>
  <c r="K16" i="34"/>
  <c r="F24" i="34"/>
  <c r="D191" i="34"/>
  <c r="E191" i="34"/>
  <c r="F191" i="34"/>
  <c r="G191" i="34"/>
  <c r="H191" i="34"/>
  <c r="E183" i="34"/>
  <c r="F183" i="34"/>
  <c r="G183" i="34"/>
  <c r="H183" i="34"/>
  <c r="I183" i="34"/>
  <c r="J183" i="34"/>
  <c r="E184" i="34"/>
  <c r="F184" i="34"/>
  <c r="G184" i="34"/>
  <c r="H184" i="34"/>
  <c r="I184" i="34"/>
  <c r="J184" i="34"/>
  <c r="D184" i="34"/>
  <c r="D183" i="34"/>
  <c r="D158" i="34"/>
  <c r="E158" i="34"/>
  <c r="F158" i="34"/>
  <c r="G158" i="34"/>
  <c r="H158" i="34"/>
  <c r="D159" i="34"/>
  <c r="E159" i="34"/>
  <c r="F159" i="34"/>
  <c r="G159" i="34"/>
  <c r="H159" i="34"/>
  <c r="I159" i="34"/>
  <c r="D146" i="34"/>
  <c r="E146" i="34"/>
  <c r="F146" i="34"/>
  <c r="G146" i="34"/>
  <c r="H146" i="34"/>
  <c r="D141" i="34"/>
  <c r="E141" i="34"/>
  <c r="F141" i="34"/>
  <c r="G141" i="34"/>
  <c r="H141" i="34"/>
  <c r="J137" i="34"/>
  <c r="D137" i="34"/>
  <c r="E137" i="34"/>
  <c r="F137" i="34"/>
  <c r="G137" i="34"/>
  <c r="H137" i="34"/>
  <c r="I137" i="34"/>
  <c r="J23" i="34"/>
  <c r="J24" i="34"/>
  <c r="J25" i="34"/>
  <c r="J22" i="34"/>
  <c r="I23" i="34"/>
  <c r="I24" i="34"/>
  <c r="I25" i="34"/>
  <c r="I22" i="34"/>
  <c r="D23" i="34"/>
  <c r="E23" i="34"/>
  <c r="F23" i="34"/>
  <c r="G23" i="34"/>
  <c r="H23" i="34"/>
  <c r="D24" i="34"/>
  <c r="E24" i="34"/>
  <c r="G24" i="34"/>
  <c r="H24" i="34"/>
  <c r="D25" i="34"/>
  <c r="E25" i="34"/>
  <c r="F25" i="34"/>
  <c r="G25" i="34"/>
  <c r="H25" i="34"/>
  <c r="D22" i="34"/>
  <c r="E22" i="34"/>
  <c r="F22" i="34"/>
  <c r="G22" i="34"/>
  <c r="H22" i="34"/>
  <c r="D20" i="34"/>
  <c r="E20" i="34"/>
  <c r="F20" i="34"/>
  <c r="G20" i="34"/>
  <c r="D21" i="34"/>
  <c r="E21" i="34"/>
  <c r="F21" i="34"/>
  <c r="G21" i="34"/>
  <c r="H20" i="34"/>
  <c r="I20" i="34"/>
  <c r="J20" i="34"/>
  <c r="H21" i="34"/>
  <c r="I21" i="34"/>
  <c r="J21" i="34"/>
  <c r="J120" i="56" l="1"/>
  <c r="H47" i="24"/>
  <c r="H49" i="24" s="1"/>
  <c r="J120" i="55"/>
  <c r="G47" i="24"/>
  <c r="G49" i="24" s="1"/>
  <c r="J120" i="54"/>
  <c r="F47" i="24"/>
  <c r="J120" i="50"/>
  <c r="E47" i="24"/>
  <c r="E49" i="24" s="1"/>
  <c r="I53" i="24"/>
  <c r="I54" i="24"/>
  <c r="F49" i="24"/>
  <c r="I52" i="24"/>
  <c r="I51" i="24"/>
  <c r="H43" i="24"/>
  <c r="I13" i="24"/>
  <c r="I26" i="24"/>
  <c r="I20" i="24"/>
  <c r="I19" i="24"/>
  <c r="I25" i="24"/>
  <c r="I23" i="24"/>
  <c r="H27" i="56"/>
  <c r="K38" i="56"/>
  <c r="I42" i="56"/>
  <c r="F41" i="56"/>
  <c r="J41" i="56"/>
  <c r="H56" i="56"/>
  <c r="E57" i="56"/>
  <c r="I57" i="56"/>
  <c r="K55" i="56"/>
  <c r="H65" i="56"/>
  <c r="E66" i="56"/>
  <c r="I66" i="56"/>
  <c r="K137" i="56"/>
  <c r="K159" i="56"/>
  <c r="K184" i="56"/>
  <c r="K61" i="56"/>
  <c r="K65" i="56" s="1"/>
  <c r="K37" i="56"/>
  <c r="I41" i="56"/>
  <c r="F42" i="56"/>
  <c r="J42" i="56"/>
  <c r="E56" i="56"/>
  <c r="I56" i="56"/>
  <c r="J57" i="56"/>
  <c r="K54" i="56"/>
  <c r="G56" i="56"/>
  <c r="E65" i="56"/>
  <c r="I65" i="56"/>
  <c r="F66" i="56"/>
  <c r="J66" i="56"/>
  <c r="G67" i="56"/>
  <c r="G71" i="56" s="1"/>
  <c r="K62" i="56"/>
  <c r="K53" i="56"/>
  <c r="K57" i="56" s="1"/>
  <c r="K146" i="56"/>
  <c r="H68" i="55"/>
  <c r="K38" i="55"/>
  <c r="K53" i="55"/>
  <c r="K57" i="55" s="1"/>
  <c r="K64" i="55"/>
  <c r="G65" i="55"/>
  <c r="H67" i="55"/>
  <c r="E68" i="55"/>
  <c r="E72" i="55" s="1"/>
  <c r="I68" i="55"/>
  <c r="F69" i="55"/>
  <c r="J69" i="55"/>
  <c r="E27" i="55"/>
  <c r="F42" i="55"/>
  <c r="K52" i="55"/>
  <c r="K56" i="55" s="1"/>
  <c r="J56" i="55"/>
  <c r="G57" i="55"/>
  <c r="E65" i="55"/>
  <c r="I65" i="55"/>
  <c r="F66" i="55"/>
  <c r="J66" i="55"/>
  <c r="K63" i="55"/>
  <c r="G67" i="55"/>
  <c r="G71" i="55" s="1"/>
  <c r="K95" i="55"/>
  <c r="F41" i="55"/>
  <c r="G42" i="55"/>
  <c r="K55" i="55"/>
  <c r="K62" i="55"/>
  <c r="K66" i="55" s="1"/>
  <c r="G68" i="55"/>
  <c r="G72" i="55" s="1"/>
  <c r="K183" i="55"/>
  <c r="K191" i="55"/>
  <c r="K158" i="54"/>
  <c r="F31" i="24"/>
  <c r="K22" i="54"/>
  <c r="H67" i="54"/>
  <c r="E68" i="54"/>
  <c r="I68" i="54"/>
  <c r="F69" i="54"/>
  <c r="J69" i="54"/>
  <c r="K37" i="54"/>
  <c r="K51" i="54"/>
  <c r="G65" i="54"/>
  <c r="K61" i="54"/>
  <c r="G68" i="54"/>
  <c r="G72" i="54" s="1"/>
  <c r="K25" i="54"/>
  <c r="K27" i="54" s="1"/>
  <c r="K36" i="54"/>
  <c r="F41" i="54"/>
  <c r="J41" i="54"/>
  <c r="G42" i="54"/>
  <c r="K40" i="54"/>
  <c r="K42" i="54" s="1"/>
  <c r="D56" i="54"/>
  <c r="H56" i="54"/>
  <c r="E57" i="54"/>
  <c r="I57" i="54"/>
  <c r="D66" i="54"/>
  <c r="H66" i="54"/>
  <c r="G67" i="54"/>
  <c r="G71" i="54" s="1"/>
  <c r="F67" i="54"/>
  <c r="F71" i="54" s="1"/>
  <c r="J67" i="54"/>
  <c r="K24" i="54"/>
  <c r="H69" i="54"/>
  <c r="E70" i="54"/>
  <c r="I70" i="54"/>
  <c r="I72" i="54" s="1"/>
  <c r="K39" i="54"/>
  <c r="K55" i="54"/>
  <c r="K184" i="54"/>
  <c r="K27" i="50"/>
  <c r="K158" i="50"/>
  <c r="K35" i="50"/>
  <c r="K39" i="50"/>
  <c r="K52" i="50"/>
  <c r="I72" i="50"/>
  <c r="K22" i="50"/>
  <c r="D70" i="50"/>
  <c r="F26" i="50"/>
  <c r="G69" i="50"/>
  <c r="G26" i="50"/>
  <c r="D27" i="50"/>
  <c r="I27" i="50"/>
  <c r="F65" i="50"/>
  <c r="J65" i="50"/>
  <c r="I66" i="50"/>
  <c r="I67" i="50"/>
  <c r="I71" i="50" s="1"/>
  <c r="K159" i="50"/>
  <c r="K36" i="50"/>
  <c r="G41" i="50"/>
  <c r="K38" i="50"/>
  <c r="H42" i="50"/>
  <c r="E56" i="50"/>
  <c r="I56" i="50"/>
  <c r="F57" i="50"/>
  <c r="J57" i="50"/>
  <c r="K55" i="50"/>
  <c r="K57" i="50" s="1"/>
  <c r="D68" i="50"/>
  <c r="J26" i="50"/>
  <c r="K63" i="50"/>
  <c r="F27" i="50"/>
  <c r="J27" i="50"/>
  <c r="G65" i="50"/>
  <c r="E27" i="50"/>
  <c r="K24" i="50"/>
  <c r="K37" i="50"/>
  <c r="K41" i="50" s="1"/>
  <c r="K54" i="50"/>
  <c r="K56" i="56"/>
  <c r="C81" i="56" s="1"/>
  <c r="F71" i="56"/>
  <c r="K24" i="56"/>
  <c r="D69" i="56"/>
  <c r="H26" i="56"/>
  <c r="E42" i="56"/>
  <c r="D68" i="56"/>
  <c r="K22" i="56"/>
  <c r="K26" i="56" s="1"/>
  <c r="D67" i="56"/>
  <c r="H71" i="56"/>
  <c r="E68" i="56"/>
  <c r="E72" i="56" s="1"/>
  <c r="I68" i="56"/>
  <c r="I72" i="56" s="1"/>
  <c r="F69" i="56"/>
  <c r="J69" i="56"/>
  <c r="D26" i="56"/>
  <c r="D27" i="56"/>
  <c r="K40" i="56"/>
  <c r="K42" i="56" s="1"/>
  <c r="K66" i="56"/>
  <c r="G68" i="56"/>
  <c r="G70" i="56"/>
  <c r="J71" i="56"/>
  <c r="I26" i="56"/>
  <c r="I27" i="56"/>
  <c r="E67" i="56"/>
  <c r="E71" i="56" s="1"/>
  <c r="I67" i="56"/>
  <c r="I71" i="56" s="1"/>
  <c r="F68" i="56"/>
  <c r="F72" i="56" s="1"/>
  <c r="J68" i="56"/>
  <c r="J72" i="56" s="1"/>
  <c r="K25" i="56"/>
  <c r="D70" i="56"/>
  <c r="K70" i="56" s="1"/>
  <c r="E26" i="56"/>
  <c r="E27" i="56"/>
  <c r="K39" i="56"/>
  <c r="K41" i="56" s="1"/>
  <c r="C80" i="56" s="1"/>
  <c r="F26" i="56"/>
  <c r="J26" i="56"/>
  <c r="F27" i="56"/>
  <c r="J27" i="56"/>
  <c r="K65" i="55"/>
  <c r="J72" i="55"/>
  <c r="F67" i="55"/>
  <c r="F71" i="55" s="1"/>
  <c r="J67" i="55"/>
  <c r="J71" i="55" s="1"/>
  <c r="K24" i="55"/>
  <c r="D69" i="55"/>
  <c r="H26" i="55"/>
  <c r="H27" i="55"/>
  <c r="E41" i="55"/>
  <c r="E42" i="55"/>
  <c r="E26" i="55"/>
  <c r="K23" i="55"/>
  <c r="D68" i="55"/>
  <c r="H72" i="55"/>
  <c r="E69" i="55"/>
  <c r="E71" i="55" s="1"/>
  <c r="I69" i="55"/>
  <c r="I71" i="55" s="1"/>
  <c r="F70" i="55"/>
  <c r="F72" i="55" s="1"/>
  <c r="J70" i="55"/>
  <c r="I26" i="55"/>
  <c r="I27" i="55"/>
  <c r="K37" i="55"/>
  <c r="K41" i="55" s="1"/>
  <c r="F56" i="55"/>
  <c r="G66" i="55"/>
  <c r="K25" i="55"/>
  <c r="D70" i="55"/>
  <c r="K22" i="55"/>
  <c r="K26" i="55" s="1"/>
  <c r="D67" i="55"/>
  <c r="H71" i="55"/>
  <c r="I72" i="55"/>
  <c r="D26" i="55"/>
  <c r="D27" i="55"/>
  <c r="K40" i="55"/>
  <c r="K42" i="55" s="1"/>
  <c r="F26" i="55"/>
  <c r="J26" i="55"/>
  <c r="F27" i="55"/>
  <c r="J27" i="55"/>
  <c r="K26" i="54"/>
  <c r="H71" i="54"/>
  <c r="E72" i="54"/>
  <c r="E71" i="54"/>
  <c r="I71" i="54"/>
  <c r="F72" i="54"/>
  <c r="J72" i="54"/>
  <c r="K41" i="54"/>
  <c r="K65" i="54"/>
  <c r="H26" i="54"/>
  <c r="H27" i="54"/>
  <c r="E42" i="54"/>
  <c r="K62" i="54"/>
  <c r="K66" i="54" s="1"/>
  <c r="E26" i="54"/>
  <c r="I26" i="54"/>
  <c r="E27" i="54"/>
  <c r="I27" i="54"/>
  <c r="K52" i="54"/>
  <c r="K56" i="54" s="1"/>
  <c r="K53" i="54"/>
  <c r="K57" i="54" s="1"/>
  <c r="D67" i="54"/>
  <c r="D68" i="54"/>
  <c r="D69" i="54"/>
  <c r="D70" i="54"/>
  <c r="E41" i="54"/>
  <c r="F26" i="54"/>
  <c r="J26" i="54"/>
  <c r="F27" i="54"/>
  <c r="J27" i="54"/>
  <c r="D26" i="54"/>
  <c r="D27" i="54"/>
  <c r="K95" i="50"/>
  <c r="D56" i="50"/>
  <c r="D57" i="50"/>
  <c r="H69" i="50"/>
  <c r="K42" i="50"/>
  <c r="D41" i="50"/>
  <c r="D42" i="50"/>
  <c r="H67" i="50"/>
  <c r="H71" i="50" s="1"/>
  <c r="H70" i="50"/>
  <c r="D71" i="50"/>
  <c r="J66" i="50"/>
  <c r="H68" i="50"/>
  <c r="H72" i="50" s="1"/>
  <c r="J70" i="50"/>
  <c r="K64" i="50"/>
  <c r="K66" i="50" s="1"/>
  <c r="E26" i="50"/>
  <c r="H27" i="50"/>
  <c r="F66" i="50"/>
  <c r="F67" i="50"/>
  <c r="J67" i="50"/>
  <c r="J71" i="50" s="1"/>
  <c r="F68" i="50"/>
  <c r="J68" i="50"/>
  <c r="F69" i="50"/>
  <c r="F70" i="50"/>
  <c r="H26" i="50"/>
  <c r="K65" i="50"/>
  <c r="G67" i="50"/>
  <c r="G71" i="50" s="1"/>
  <c r="G68" i="50"/>
  <c r="G72" i="50" s="1"/>
  <c r="K137" i="34"/>
  <c r="J70" i="34"/>
  <c r="K146" i="34"/>
  <c r="I68" i="34"/>
  <c r="G70" i="34"/>
  <c r="G69" i="34"/>
  <c r="I67" i="34"/>
  <c r="I70" i="34"/>
  <c r="I72" i="34" s="1"/>
  <c r="K119" i="34"/>
  <c r="D48" i="24" s="1"/>
  <c r="J119" i="34"/>
  <c r="G67" i="34"/>
  <c r="I69" i="34"/>
  <c r="H67" i="34"/>
  <c r="F66" i="34"/>
  <c r="J69" i="34"/>
  <c r="F69" i="34"/>
  <c r="F67" i="34"/>
  <c r="K67" i="34" s="1"/>
  <c r="H69" i="34"/>
  <c r="H68" i="34"/>
  <c r="F70" i="34"/>
  <c r="G68" i="34"/>
  <c r="J67" i="34"/>
  <c r="F68" i="34"/>
  <c r="J68" i="34"/>
  <c r="H70" i="34"/>
  <c r="F65" i="34"/>
  <c r="H65" i="34"/>
  <c r="I65" i="34"/>
  <c r="H66" i="34"/>
  <c r="K36" i="34"/>
  <c r="G41" i="34"/>
  <c r="D42" i="34"/>
  <c r="H42" i="34"/>
  <c r="G56" i="34"/>
  <c r="D57" i="34"/>
  <c r="H57" i="34"/>
  <c r="E71" i="34"/>
  <c r="K20" i="34"/>
  <c r="D41" i="34"/>
  <c r="H41" i="34"/>
  <c r="E42" i="34"/>
  <c r="I42" i="34"/>
  <c r="D56" i="34"/>
  <c r="H56" i="34"/>
  <c r="K22" i="34"/>
  <c r="K39" i="34"/>
  <c r="E57" i="34"/>
  <c r="I57" i="34"/>
  <c r="K21" i="34"/>
  <c r="E41" i="34"/>
  <c r="I41" i="34"/>
  <c r="F42" i="34"/>
  <c r="J42" i="34"/>
  <c r="E56" i="34"/>
  <c r="I56" i="34"/>
  <c r="F57" i="34"/>
  <c r="J57" i="34"/>
  <c r="E26" i="34"/>
  <c r="K35" i="34"/>
  <c r="K23" i="34"/>
  <c r="D71" i="34"/>
  <c r="E72" i="34"/>
  <c r="K25" i="34"/>
  <c r="K24" i="34"/>
  <c r="K52" i="34"/>
  <c r="K54" i="34"/>
  <c r="K51" i="34"/>
  <c r="K37" i="34"/>
  <c r="F41" i="34"/>
  <c r="J41" i="34"/>
  <c r="G42" i="34"/>
  <c r="F56" i="34"/>
  <c r="J56" i="34"/>
  <c r="G57" i="34"/>
  <c r="D72" i="34"/>
  <c r="K40" i="34"/>
  <c r="K50" i="34"/>
  <c r="K55" i="34"/>
  <c r="K53" i="34"/>
  <c r="K38" i="34"/>
  <c r="I27" i="34"/>
  <c r="J27" i="34"/>
  <c r="H26" i="34"/>
  <c r="G27" i="34"/>
  <c r="D27" i="34"/>
  <c r="E27" i="34"/>
  <c r="F30" i="34"/>
  <c r="F45" i="34" s="1"/>
  <c r="F60" i="34" s="1"/>
  <c r="F86" i="34" s="1"/>
  <c r="F133" i="34" s="1"/>
  <c r="F139" i="34" s="1"/>
  <c r="F143" i="34" s="1"/>
  <c r="F153" i="34" s="1"/>
  <c r="F170" i="34" s="1"/>
  <c r="F187" i="34" s="1"/>
  <c r="G15" i="34"/>
  <c r="H27" i="34"/>
  <c r="G26" i="34"/>
  <c r="F27" i="34"/>
  <c r="F26" i="34"/>
  <c r="D26" i="34"/>
  <c r="J26" i="34"/>
  <c r="I26" i="34"/>
  <c r="D41" i="24"/>
  <c r="I191" i="34"/>
  <c r="J191" i="34"/>
  <c r="J159" i="34"/>
  <c r="I158" i="34"/>
  <c r="J158" i="34"/>
  <c r="K89" i="34"/>
  <c r="K90" i="34"/>
  <c r="J120" i="34" l="1"/>
  <c r="D47" i="24"/>
  <c r="D49" i="24" s="1"/>
  <c r="I21" i="24"/>
  <c r="K67" i="56"/>
  <c r="K69" i="55"/>
  <c r="C81" i="55"/>
  <c r="K70" i="55"/>
  <c r="K70" i="54"/>
  <c r="C79" i="54"/>
  <c r="K69" i="54"/>
  <c r="C81" i="54"/>
  <c r="J71" i="54"/>
  <c r="K56" i="50"/>
  <c r="C81" i="50" s="1"/>
  <c r="K26" i="50"/>
  <c r="C79" i="50" s="1"/>
  <c r="C80" i="50"/>
  <c r="K70" i="50"/>
  <c r="G72" i="56"/>
  <c r="D71" i="56"/>
  <c r="D72" i="56"/>
  <c r="K68" i="56"/>
  <c r="K72" i="56" s="1"/>
  <c r="K69" i="56"/>
  <c r="K27" i="56"/>
  <c r="C79" i="56" s="1"/>
  <c r="C82" i="56" s="1"/>
  <c r="D71" i="55"/>
  <c r="K67" i="55"/>
  <c r="K71" i="55" s="1"/>
  <c r="C80" i="55"/>
  <c r="D72" i="55"/>
  <c r="K68" i="55"/>
  <c r="K72" i="55" s="1"/>
  <c r="K27" i="55"/>
  <c r="C79" i="55" s="1"/>
  <c r="D72" i="54"/>
  <c r="K68" i="54"/>
  <c r="K72" i="54" s="1"/>
  <c r="K67" i="54"/>
  <c r="D71" i="54"/>
  <c r="C80" i="54"/>
  <c r="K69" i="50"/>
  <c r="J72" i="50"/>
  <c r="K68" i="50"/>
  <c r="F72" i="50"/>
  <c r="D72" i="50"/>
  <c r="F71" i="50"/>
  <c r="K67" i="50"/>
  <c r="J72" i="34"/>
  <c r="G72" i="34"/>
  <c r="G71" i="34"/>
  <c r="I71" i="34"/>
  <c r="F72" i="34"/>
  <c r="K70" i="34"/>
  <c r="H71" i="34"/>
  <c r="K69" i="34"/>
  <c r="J71" i="34"/>
  <c r="K68" i="34"/>
  <c r="F71" i="34"/>
  <c r="K57" i="34"/>
  <c r="H72" i="34"/>
  <c r="K26" i="34"/>
  <c r="K66" i="34"/>
  <c r="K41" i="34"/>
  <c r="K42" i="34"/>
  <c r="K27" i="34"/>
  <c r="K56" i="34"/>
  <c r="H15" i="34"/>
  <c r="G30" i="34"/>
  <c r="G45" i="34" s="1"/>
  <c r="G60" i="34" s="1"/>
  <c r="G86" i="34" s="1"/>
  <c r="G133" i="34" s="1"/>
  <c r="G139" i="34" s="1"/>
  <c r="G143" i="34" s="1"/>
  <c r="G153" i="34" s="1"/>
  <c r="G170" i="34" s="1"/>
  <c r="G187" i="34" s="1"/>
  <c r="I41" i="24"/>
  <c r="D39" i="24"/>
  <c r="I39" i="24" s="1"/>
  <c r="K178" i="34"/>
  <c r="D38" i="24" s="1"/>
  <c r="I38" i="24" s="1"/>
  <c r="K176" i="34"/>
  <c r="D36" i="24" s="1"/>
  <c r="I36" i="24" s="1"/>
  <c r="K174" i="34"/>
  <c r="D34" i="24" s="1"/>
  <c r="I34" i="24" s="1"/>
  <c r="K172" i="34"/>
  <c r="D32" i="24" s="1"/>
  <c r="I32" i="24" s="1"/>
  <c r="K157" i="34"/>
  <c r="K155" i="34"/>
  <c r="K88" i="34"/>
  <c r="K87" i="34"/>
  <c r="C82" i="55" l="1"/>
  <c r="C82" i="54"/>
  <c r="K71" i="54"/>
  <c r="C82" i="50"/>
  <c r="K71" i="50"/>
  <c r="K72" i="50"/>
  <c r="K71" i="56"/>
  <c r="K72" i="34"/>
  <c r="D16" i="24" s="1"/>
  <c r="I16" i="24" s="1"/>
  <c r="K71" i="34"/>
  <c r="D14" i="24" s="1"/>
  <c r="I14" i="24" s="1"/>
  <c r="C79" i="34"/>
  <c r="C80" i="34"/>
  <c r="C81" i="34"/>
  <c r="K95" i="34"/>
  <c r="I15" i="34"/>
  <c r="H30" i="34"/>
  <c r="H45" i="34" s="1"/>
  <c r="H60" i="34" s="1"/>
  <c r="H86" i="34" s="1"/>
  <c r="H133" i="34" s="1"/>
  <c r="H139" i="34" s="1"/>
  <c r="H143" i="34" s="1"/>
  <c r="H153" i="34" s="1"/>
  <c r="H170" i="34" s="1"/>
  <c r="H187" i="34" s="1"/>
  <c r="I15" i="24"/>
  <c r="K159" i="34"/>
  <c r="D60" i="24" l="1"/>
  <c r="I29" i="24"/>
  <c r="H153" i="56"/>
  <c r="C82" i="34"/>
  <c r="J15" i="34"/>
  <c r="D15" i="50" s="1"/>
  <c r="I30" i="34"/>
  <c r="I45" i="34" s="1"/>
  <c r="I60" i="34" s="1"/>
  <c r="I86" i="34" s="1"/>
  <c r="I133" i="34" s="1"/>
  <c r="I139" i="34" s="1"/>
  <c r="I143" i="34" s="1"/>
  <c r="I153" i="34" s="1"/>
  <c r="I170" i="34" s="1"/>
  <c r="I187" i="34" s="1"/>
  <c r="I141" i="34"/>
  <c r="I146" i="34"/>
  <c r="E15" i="50" l="1"/>
  <c r="D30" i="50"/>
  <c r="D45" i="50" s="1"/>
  <c r="D60" i="50" s="1"/>
  <c r="I153" i="56"/>
  <c r="J153" i="56"/>
  <c r="J30" i="34"/>
  <c r="J45" i="34" s="1"/>
  <c r="J60" i="34" s="1"/>
  <c r="J86" i="34" s="1"/>
  <c r="J133" i="34" s="1"/>
  <c r="J139" i="34" s="1"/>
  <c r="J143" i="34" s="1"/>
  <c r="J153" i="34" s="1"/>
  <c r="J170" i="34" s="1"/>
  <c r="J187" i="34" s="1"/>
  <c r="K190" i="34"/>
  <c r="K189" i="34"/>
  <c r="D42" i="24"/>
  <c r="K177" i="34"/>
  <c r="D37" i="24" s="1"/>
  <c r="I37" i="24" s="1"/>
  <c r="K175" i="34"/>
  <c r="D35" i="24" s="1"/>
  <c r="I35" i="24" s="1"/>
  <c r="K173" i="34"/>
  <c r="D33" i="24" s="1"/>
  <c r="I33" i="24" s="1"/>
  <c r="K171" i="34"/>
  <c r="D31" i="24" s="1"/>
  <c r="I31" i="24" s="1"/>
  <c r="J141" i="34"/>
  <c r="K156" i="34"/>
  <c r="K154" i="34"/>
  <c r="J146" i="34"/>
  <c r="D86" i="50" l="1"/>
  <c r="D133" i="50"/>
  <c r="D139" i="50" s="1"/>
  <c r="D143" i="50" s="1"/>
  <c r="D153" i="50" s="1"/>
  <c r="D170" i="50" s="1"/>
  <c r="D187" i="50" s="1"/>
  <c r="F15" i="50"/>
  <c r="E30" i="50"/>
  <c r="E45" i="50" s="1"/>
  <c r="E60" i="50" s="1"/>
  <c r="K191" i="34"/>
  <c r="K158" i="34"/>
  <c r="K184" i="34"/>
  <c r="D40" i="24" s="1"/>
  <c r="I40" i="24" s="1"/>
  <c r="K183" i="34"/>
  <c r="E133" i="50" l="1"/>
  <c r="E139" i="50" s="1"/>
  <c r="E143" i="50" s="1"/>
  <c r="E153" i="50" s="1"/>
  <c r="E170" i="50" s="1"/>
  <c r="E187" i="50" s="1"/>
  <c r="E86" i="50"/>
  <c r="F30" i="50"/>
  <c r="F45" i="50" s="1"/>
  <c r="F60" i="50" s="1"/>
  <c r="G15" i="50"/>
  <c r="D45" i="24"/>
  <c r="I45" i="24" s="1"/>
  <c r="D28" i="24"/>
  <c r="G43" i="24"/>
  <c r="F86" i="50" l="1"/>
  <c r="F133" i="50"/>
  <c r="F139" i="50" s="1"/>
  <c r="F143" i="50" s="1"/>
  <c r="F153" i="50" s="1"/>
  <c r="F170" i="50" s="1"/>
  <c r="F187" i="50" s="1"/>
  <c r="G30" i="50"/>
  <c r="G45" i="50" s="1"/>
  <c r="G60" i="50" s="1"/>
  <c r="H15" i="50"/>
  <c r="G133" i="50" l="1"/>
  <c r="G139" i="50" s="1"/>
  <c r="G143" i="50" s="1"/>
  <c r="G153" i="50" s="1"/>
  <c r="G170" i="50" s="1"/>
  <c r="G187" i="50" s="1"/>
  <c r="G86" i="50"/>
  <c r="H30" i="50"/>
  <c r="H45" i="50" s="1"/>
  <c r="H60" i="50" s="1"/>
  <c r="I15" i="50"/>
  <c r="F43" i="24"/>
  <c r="E43" i="24"/>
  <c r="I30" i="50" l="1"/>
  <c r="I45" i="50" s="1"/>
  <c r="I60" i="50" s="1"/>
  <c r="J15" i="50"/>
  <c r="H133" i="50"/>
  <c r="H139" i="50" s="1"/>
  <c r="H143" i="50" s="1"/>
  <c r="H153" i="50" s="1"/>
  <c r="H170" i="50" s="1"/>
  <c r="H187" i="50" s="1"/>
  <c r="H86" i="50"/>
  <c r="I42" i="24"/>
  <c r="D15" i="54" l="1"/>
  <c r="J30" i="50"/>
  <c r="J45" i="50" s="1"/>
  <c r="J60" i="50" s="1"/>
  <c r="I86" i="50"/>
  <c r="I133" i="50"/>
  <c r="I139" i="50" s="1"/>
  <c r="I143" i="50" s="1"/>
  <c r="I153" i="50" s="1"/>
  <c r="I170" i="50" s="1"/>
  <c r="I187" i="50" s="1"/>
  <c r="D43" i="24"/>
  <c r="I43" i="24" s="1"/>
  <c r="J86" i="50" l="1"/>
  <c r="J133" i="50"/>
  <c r="J139" i="50" s="1"/>
  <c r="J143" i="50" s="1"/>
  <c r="E15" i="54"/>
  <c r="D30" i="54"/>
  <c r="D45" i="54" s="1"/>
  <c r="D60" i="54" s="1"/>
  <c r="D133" i="54" l="1"/>
  <c r="D139" i="54" s="1"/>
  <c r="D143" i="54" s="1"/>
  <c r="D153" i="54" s="1"/>
  <c r="D170" i="54" s="1"/>
  <c r="D187" i="54" s="1"/>
  <c r="D86" i="54"/>
  <c r="E30" i="54"/>
  <c r="E45" i="54" s="1"/>
  <c r="E60" i="54" s="1"/>
  <c r="F15" i="54"/>
  <c r="J153" i="50"/>
  <c r="J170" i="50" s="1"/>
  <c r="J187" i="50" s="1"/>
  <c r="G15" i="54" l="1"/>
  <c r="F30" i="54"/>
  <c r="F45" i="54" s="1"/>
  <c r="F60" i="54" s="1"/>
  <c r="E86" i="54"/>
  <c r="E133" i="54"/>
  <c r="E139" i="54" s="1"/>
  <c r="E143" i="54" s="1"/>
  <c r="E153" i="54" s="1"/>
  <c r="E170" i="54" s="1"/>
  <c r="E187" i="54" s="1"/>
  <c r="F86" i="54" l="1"/>
  <c r="F133" i="54"/>
  <c r="F139" i="54" s="1"/>
  <c r="F143" i="54" s="1"/>
  <c r="F153" i="54" s="1"/>
  <c r="F170" i="54" s="1"/>
  <c r="F187" i="54" s="1"/>
  <c r="G30" i="54"/>
  <c r="G45" i="54" s="1"/>
  <c r="G60" i="54" s="1"/>
  <c r="H15" i="54"/>
  <c r="H30" i="54" l="1"/>
  <c r="H45" i="54" s="1"/>
  <c r="H60" i="54" s="1"/>
  <c r="I15" i="54"/>
  <c r="G133" i="54"/>
  <c r="G139" i="54" s="1"/>
  <c r="G143" i="54" s="1"/>
  <c r="G153" i="54" s="1"/>
  <c r="G170" i="54" s="1"/>
  <c r="G187" i="54" s="1"/>
  <c r="G86" i="54"/>
  <c r="J15" i="54" l="1"/>
  <c r="I30" i="54"/>
  <c r="I45" i="54" s="1"/>
  <c r="I60" i="54" s="1"/>
  <c r="H133" i="54"/>
  <c r="H139" i="54" s="1"/>
  <c r="H143" i="54" s="1"/>
  <c r="H153" i="54" s="1"/>
  <c r="H170" i="54" s="1"/>
  <c r="H187" i="54" s="1"/>
  <c r="H86" i="54"/>
  <c r="I133" i="54" l="1"/>
  <c r="I139" i="54" s="1"/>
  <c r="I143" i="54" s="1"/>
  <c r="I153" i="54" s="1"/>
  <c r="I170" i="54" s="1"/>
  <c r="I187" i="54" s="1"/>
  <c r="I86" i="54"/>
  <c r="J30" i="54"/>
  <c r="J45" i="54" s="1"/>
  <c r="J60" i="54" s="1"/>
  <c r="D15" i="55"/>
  <c r="D30" i="55" l="1"/>
  <c r="D45" i="55" s="1"/>
  <c r="D60" i="55" s="1"/>
  <c r="E15" i="55"/>
  <c r="J133" i="54"/>
  <c r="J139" i="54" s="1"/>
  <c r="J143" i="54" s="1"/>
  <c r="J153" i="54" s="1"/>
  <c r="J170" i="54" s="1"/>
  <c r="J187" i="54" s="1"/>
  <c r="J86" i="54"/>
  <c r="F15" i="55" l="1"/>
  <c r="E30" i="55"/>
  <c r="E45" i="55" s="1"/>
  <c r="E60" i="55" s="1"/>
  <c r="D133" i="55"/>
  <c r="D139" i="55" s="1"/>
  <c r="D143" i="55" s="1"/>
  <c r="D153" i="55" s="1"/>
  <c r="D170" i="55" s="1"/>
  <c r="D187" i="55" s="1"/>
  <c r="D86" i="55"/>
  <c r="E86" i="55" l="1"/>
  <c r="E133" i="55"/>
  <c r="E139" i="55" s="1"/>
  <c r="E143" i="55" s="1"/>
  <c r="E153" i="55" s="1"/>
  <c r="E170" i="55" s="1"/>
  <c r="E187" i="55" s="1"/>
  <c r="F30" i="55"/>
  <c r="F45" i="55" s="1"/>
  <c r="F60" i="55" s="1"/>
  <c r="G15" i="55"/>
  <c r="G30" i="55" l="1"/>
  <c r="G45" i="55" s="1"/>
  <c r="G60" i="55" s="1"/>
  <c r="H15" i="55"/>
  <c r="F86" i="55"/>
  <c r="F133" i="55"/>
  <c r="F139" i="55" s="1"/>
  <c r="F143" i="55" s="1"/>
  <c r="F153" i="55" s="1"/>
  <c r="F170" i="55" s="1"/>
  <c r="F187" i="55" s="1"/>
  <c r="I15" i="55" l="1"/>
  <c r="H30" i="55"/>
  <c r="H45" i="55" s="1"/>
  <c r="H60" i="55" s="1"/>
  <c r="G86" i="55"/>
  <c r="G133" i="55"/>
  <c r="G139" i="55" s="1"/>
  <c r="G143" i="55" s="1"/>
  <c r="G153" i="55" s="1"/>
  <c r="G170" i="55" s="1"/>
  <c r="G187" i="55" s="1"/>
  <c r="H133" i="55" l="1"/>
  <c r="H139" i="55" s="1"/>
  <c r="H143" i="55" s="1"/>
  <c r="H153" i="55" s="1"/>
  <c r="H170" i="55" s="1"/>
  <c r="H187" i="55" s="1"/>
  <c r="H86" i="55"/>
  <c r="J15" i="55"/>
  <c r="I30" i="55"/>
  <c r="I45" i="55" s="1"/>
  <c r="I60" i="55" s="1"/>
  <c r="I133" i="55" l="1"/>
  <c r="I139" i="55" s="1"/>
  <c r="I143" i="55" s="1"/>
  <c r="I153" i="55" s="1"/>
  <c r="I170" i="55" s="1"/>
  <c r="I187" i="55" s="1"/>
  <c r="I86" i="55"/>
  <c r="J30" i="55"/>
  <c r="J45" i="55" s="1"/>
  <c r="J60" i="55" s="1"/>
  <c r="D15" i="56"/>
  <c r="E15" i="56" l="1"/>
  <c r="D30" i="56"/>
  <c r="D45" i="56" s="1"/>
  <c r="D60" i="56" s="1"/>
  <c r="J133" i="55"/>
  <c r="J139" i="55" s="1"/>
  <c r="J143" i="55" s="1"/>
  <c r="J153" i="55" s="1"/>
  <c r="J170" i="55" s="1"/>
  <c r="J187" i="55" s="1"/>
  <c r="J86" i="55"/>
  <c r="D86" i="56" l="1"/>
  <c r="D133" i="56"/>
  <c r="D139" i="56" s="1"/>
  <c r="D143" i="56" s="1"/>
  <c r="D153" i="56" s="1"/>
  <c r="D170" i="56" s="1"/>
  <c r="D187" i="56" s="1"/>
  <c r="F15" i="56"/>
  <c r="E30" i="56"/>
  <c r="E45" i="56" s="1"/>
  <c r="E60" i="56" s="1"/>
  <c r="E86" i="56" l="1"/>
  <c r="E133" i="56"/>
  <c r="E139" i="56" s="1"/>
  <c r="E143" i="56" s="1"/>
  <c r="E153" i="56" s="1"/>
  <c r="E170" i="56" s="1"/>
  <c r="E187" i="56" s="1"/>
  <c r="F30" i="56"/>
  <c r="F45" i="56" s="1"/>
  <c r="F60" i="56" s="1"/>
  <c r="G15" i="56"/>
  <c r="G30" i="56" s="1"/>
  <c r="G45" i="56" s="1"/>
  <c r="G60" i="56" s="1"/>
  <c r="G86" i="56" l="1"/>
  <c r="G133" i="56"/>
  <c r="G139" i="56" s="1"/>
  <c r="G143" i="56" s="1"/>
  <c r="G153" i="56" s="1"/>
  <c r="G170" i="56" s="1"/>
  <c r="G187" i="56" s="1"/>
  <c r="F133" i="56"/>
  <c r="F139" i="56" s="1"/>
  <c r="F143" i="56" s="1"/>
  <c r="F153" i="56" s="1"/>
  <c r="F170" i="56" s="1"/>
  <c r="F187" i="56" s="1"/>
  <c r="F86" i="56"/>
</calcChain>
</file>

<file path=xl/sharedStrings.xml><?xml version="1.0" encoding="utf-8"?>
<sst xmlns="http://schemas.openxmlformats.org/spreadsheetml/2006/main" count="1128" uniqueCount="205">
  <si>
    <t>REPORTE  ESTADÍSTICO SEMANAL SSOMA</t>
  </si>
  <si>
    <t>CÓDIGO:</t>
  </si>
  <si>
    <t>SG-SSOMA-03</t>
  </si>
  <si>
    <t>REVISIÓN:</t>
  </si>
  <si>
    <t>FECHA:</t>
  </si>
  <si>
    <t>PÁGINA:</t>
  </si>
  <si>
    <t>01/06</t>
  </si>
  <si>
    <t>Obra / Proyecto:</t>
  </si>
  <si>
    <t>Empresa:</t>
  </si>
  <si>
    <t>Mes - Año:</t>
  </si>
  <si>
    <t>Semana N°:</t>
  </si>
  <si>
    <t>Residente de Obra:</t>
  </si>
  <si>
    <t>Supervisor SSOMA:</t>
  </si>
  <si>
    <t>INFORMACIÓN HHT</t>
  </si>
  <si>
    <t>TURNO DIURNO</t>
  </si>
  <si>
    <t>Lunes</t>
  </si>
  <si>
    <t>Martes</t>
  </si>
  <si>
    <t xml:space="preserve">Miércoles </t>
  </si>
  <si>
    <t>Jueves</t>
  </si>
  <si>
    <t>Viernes</t>
  </si>
  <si>
    <t>Sábado</t>
  </si>
  <si>
    <t>Domingo</t>
  </si>
  <si>
    <t>TOTAL SEMANAL</t>
  </si>
  <si>
    <t>Cantidad de personal obrero RUAG</t>
  </si>
  <si>
    <t>Cantidad de personal obrero SUBCONTRATISTA</t>
  </si>
  <si>
    <t>Cantidad de personal de STAFF RUAG</t>
  </si>
  <si>
    <t>Cantidad de personal de STAFF SUBCONTRATISTA</t>
  </si>
  <si>
    <t>TOTAL TRABAJADORES RUAG</t>
  </si>
  <si>
    <t>TOTAL TRABAJADORES SUBCONTRATISTA</t>
  </si>
  <si>
    <t>Total HH personal Obrero RUAG</t>
  </si>
  <si>
    <t>Total HH personal Obrero SUBCONTRATISTA</t>
  </si>
  <si>
    <t>Total HH personal STAFF RUAG</t>
  </si>
  <si>
    <t>Total HH personal STAFF SUBCONTRATISTA</t>
  </si>
  <si>
    <t>TOTAL HH PRODUCIDAS RUAG</t>
  </si>
  <si>
    <t>TOTAL HH PRODUCIDAS SUBCONTRATISTA</t>
  </si>
  <si>
    <t>TURNO NOCTURNO</t>
  </si>
  <si>
    <t>HORARIO EXTENDIDO</t>
  </si>
  <si>
    <t>RESUMEN</t>
  </si>
  <si>
    <t>EMPRESAS SUBCONTRATISTAS</t>
  </si>
  <si>
    <t>CANTIDAD DE TRABAJADORES</t>
  </si>
  <si>
    <t>TOTAL TRABAJADORES</t>
  </si>
  <si>
    <t>Empresa</t>
  </si>
  <si>
    <t>Fecha</t>
  </si>
  <si>
    <t>Tipo</t>
  </si>
  <si>
    <t>Nombre del Afectado</t>
  </si>
  <si>
    <t>Descripción del Accidente / Incidente</t>
  </si>
  <si>
    <t>INFORMACIÓN DE ACCIDENTES</t>
  </si>
  <si>
    <t>Accidente Leve</t>
  </si>
  <si>
    <t xml:space="preserve">Accidente Incapacitante </t>
  </si>
  <si>
    <t xml:space="preserve">Accidente Mortal </t>
  </si>
  <si>
    <t xml:space="preserve">TOTAL ACCIDENTES </t>
  </si>
  <si>
    <t>TIEMPO PERDIDO POR ACCIDENTES</t>
  </si>
  <si>
    <t>Días Perdidos</t>
  </si>
  <si>
    <t>TOTAL DIAS PERDIDOS</t>
  </si>
  <si>
    <t>INFORMACIÓN DE INCIDENTES</t>
  </si>
  <si>
    <t xml:space="preserve">Incidentes </t>
  </si>
  <si>
    <t xml:space="preserve">Incidente Peligroso </t>
  </si>
  <si>
    <t>TOTAL INCIDENTES</t>
  </si>
  <si>
    <t>INFORMACIÓN DE AMONESTACIONES</t>
  </si>
  <si>
    <t>Actos Inseguros RUAG</t>
  </si>
  <si>
    <t>Actos Inseguros Subcontratista</t>
  </si>
  <si>
    <t>Condiciones Inseguras RUAG</t>
  </si>
  <si>
    <t>Condiciones Inseguras Subcontratista</t>
  </si>
  <si>
    <t>TOTAL AMONESTACIONES RUAG</t>
  </si>
  <si>
    <t>TOTAL AMONESTACIONES SUBCONTRATISTA</t>
  </si>
  <si>
    <t>NÚMERO GENERADO DE DOCUMENTOS DE GESTIÓN</t>
  </si>
  <si>
    <t>ATS RUAG</t>
  </si>
  <si>
    <t>ATS Subcontratista</t>
  </si>
  <si>
    <t>Permiso de Trabajo en Altura RUAG</t>
  </si>
  <si>
    <t>Permiso de Trabajo en Altura Subcontratista</t>
  </si>
  <si>
    <t>Permiso de Trabajo en Caliente RUAG</t>
  </si>
  <si>
    <t>Permiso de Trabajo en Caliente Subcontratista</t>
  </si>
  <si>
    <t>Permiso de Horario Extendido RUAG</t>
  </si>
  <si>
    <t>Permiso de Horario Extendido Subcontratista</t>
  </si>
  <si>
    <t>TOTAL PERMISOS GENERADOS RUAG</t>
  </si>
  <si>
    <t>TOTAL PERMISOS GENERADOS SUBCONTRATISTA</t>
  </si>
  <si>
    <t>INSPECCIONES DE SEGURIDAD</t>
  </si>
  <si>
    <t>Inspecciones de Seguridad Programadas</t>
  </si>
  <si>
    <t>Inspecciones de Seguridad No Programadas</t>
  </si>
  <si>
    <t>Otras</t>
  </si>
  <si>
    <t>TOTAL INSPECCIONES</t>
  </si>
  <si>
    <t>Tema</t>
  </si>
  <si>
    <t>Horas</t>
  </si>
  <si>
    <t>HHC RUAG</t>
  </si>
  <si>
    <t>HHC SUBCONT</t>
  </si>
  <si>
    <t>Item</t>
  </si>
  <si>
    <t>Principales Actividades Operativas</t>
  </si>
  <si>
    <t>Principales Actividades de SSOMA</t>
  </si>
  <si>
    <t>Observaciones / Sugerencias / Comentarios</t>
  </si>
  <si>
    <t>REGISTRO FOTOGRÁFICO</t>
  </si>
  <si>
    <t xml:space="preserve">FIRMA DE SUPERVISOR SSOMA </t>
  </si>
  <si>
    <t xml:space="preserve">FIRMA DE RESIDENTE </t>
  </si>
  <si>
    <t>REPORTE  ESTADÍSTICO SSOMA MENSUAL</t>
  </si>
  <si>
    <t xml:space="preserve">Mes:  </t>
  </si>
  <si>
    <t>CONSOLIDADO</t>
  </si>
  <si>
    <t xml:space="preserve">SEMANA 1 </t>
  </si>
  <si>
    <t>SEMANA 2</t>
  </si>
  <si>
    <t>SEMANA 3</t>
  </si>
  <si>
    <t>SEMANA 4</t>
  </si>
  <si>
    <t>TOTAL MENSUAL</t>
  </si>
  <si>
    <t>N°</t>
  </si>
  <si>
    <t xml:space="preserve">Información </t>
  </si>
  <si>
    <t>INFORMACIÓN DE HHT</t>
  </si>
  <si>
    <t>TOTAL ACCIDENTES LEVES</t>
  </si>
  <si>
    <t>TOTAL ACCIDENTES INCAPACITANTES</t>
  </si>
  <si>
    <t xml:space="preserve">TOTAL ACCIDENTES MORTALES </t>
  </si>
  <si>
    <t>TOTAL DE ACCIDENTES DEL MES</t>
  </si>
  <si>
    <t xml:space="preserve"> INFORMACIÓN DE DÍAS PERDIDOS </t>
  </si>
  <si>
    <t>TOTAL DÍAS PERDIDOS</t>
  </si>
  <si>
    <t>TOTAL INCIDENTES PELIGROSOS</t>
  </si>
  <si>
    <t>ATS SUBCONTRATISTA</t>
  </si>
  <si>
    <t>PERMISOS DE TRABAJO EN ALTURA</t>
  </si>
  <si>
    <t>PERMISOS DE TRABAJO EN CALIENTE</t>
  </si>
  <si>
    <t>PERMISOS DE HORARIO EXTENDIDO</t>
  </si>
  <si>
    <t>TOTAL PERMISOS GENERADOS</t>
  </si>
  <si>
    <t>INFORMACIÓN HHC DE CAPACITACIONES SSOMA</t>
  </si>
  <si>
    <t>CAPACITACIONES RUAG</t>
  </si>
  <si>
    <t>CAPACITACIONES SUBCONTRATISTA</t>
  </si>
  <si>
    <t>CHARLAS DIARIA RUAG</t>
  </si>
  <si>
    <t>INDICES DE SEGURIDAD</t>
  </si>
  <si>
    <t>Índice de Frecuencia (IF)</t>
  </si>
  <si>
    <t>Índice de Severidad (IS)</t>
  </si>
  <si>
    <t>Índice de Accidentabilidad  (IA)</t>
  </si>
  <si>
    <t>Índice de Capacitación (IC)</t>
  </si>
  <si>
    <t xml:space="preserve">ITEM </t>
  </si>
  <si>
    <t>Hechos relevantes SSOMA</t>
  </si>
  <si>
    <t>Relación de accidentes e incidentes :</t>
  </si>
  <si>
    <t>Nombre del afectado</t>
  </si>
  <si>
    <t>INFORMACIÓN DE MEDIO AMBIENTE</t>
  </si>
  <si>
    <t>Consumo eléctrico total del mes en Kwh</t>
  </si>
  <si>
    <t>Cantidad de Diesel/Gasolina/GLP consumido en el mes en Galones</t>
  </si>
  <si>
    <t>Consumo de agua potable en m3 durante el mes</t>
  </si>
  <si>
    <t>Consumo de agua de cisterna en m3 durante el mes</t>
  </si>
  <si>
    <t>Volumen en m3 de efluentes generados por uso de baños químicos en el mes</t>
  </si>
  <si>
    <t>Cantidad de residuos no peligrosos generados durante el mes en m3</t>
  </si>
  <si>
    <t>Cantidad de residuos peligrosos generados durante el mes m3</t>
  </si>
  <si>
    <t>SEGREGACIÓN DE RESIDUOS SÓLIDOS NO PELIGROSOS</t>
  </si>
  <si>
    <t>Empresa EO-RS</t>
  </si>
  <si>
    <t>Tipo de Residuo</t>
  </si>
  <si>
    <t>Peso (Kg)</t>
  </si>
  <si>
    <t>Volumen (m3)</t>
  </si>
  <si>
    <t>SEGREGACIÓN DE RESIDUOS SÓLIDOS PELIGROSOS</t>
  </si>
  <si>
    <t>FIRMA DE SUPERVISOR SSOMA</t>
  </si>
  <si>
    <t>Tipos de materiales no peligrosos</t>
  </si>
  <si>
    <t>Tipos de materiales peligrosos</t>
  </si>
  <si>
    <t>Plástico</t>
  </si>
  <si>
    <t>Trapos o waypes con hidrocarburos, pintura u otro producto químico peligroso.</t>
  </si>
  <si>
    <t>Papel/ cartón</t>
  </si>
  <si>
    <t>Envases con hidrocarburos, pintura u otro producto químico peligroso.</t>
  </si>
  <si>
    <t>Metal</t>
  </si>
  <si>
    <t>Toners</t>
  </si>
  <si>
    <t>Vidrio</t>
  </si>
  <si>
    <t>Tintas</t>
  </si>
  <si>
    <t>Orgánico</t>
  </si>
  <si>
    <t>Fluorescentes</t>
  </si>
  <si>
    <t>Telas</t>
  </si>
  <si>
    <t>Focos ahorradores</t>
  </si>
  <si>
    <t>Desmonte</t>
  </si>
  <si>
    <t>Pilas</t>
  </si>
  <si>
    <t>Residuos de baño</t>
  </si>
  <si>
    <t>Baterías</t>
  </si>
  <si>
    <t>Tecnopor</t>
  </si>
  <si>
    <t>Residuos Biocontaminados como mascarillas KN95, mascarillas quirúrgicas, mascarillas de tela, guantes de latex, careta facial, residuos de tópico</t>
  </si>
  <si>
    <t>1</t>
  </si>
  <si>
    <t>2</t>
  </si>
  <si>
    <t>3</t>
  </si>
  <si>
    <t>4</t>
  </si>
  <si>
    <t>SEMANA 5</t>
  </si>
  <si>
    <t>03</t>
  </si>
  <si>
    <t>HORAS HOMBRE TRABAJADAS</t>
  </si>
  <si>
    <t>HORARIO DIURNO</t>
  </si>
  <si>
    <t>INFORMACIÓN</t>
  </si>
  <si>
    <t>HORARIO NOCTURNO</t>
  </si>
  <si>
    <t>TOTAL</t>
  </si>
  <si>
    <t>CANTIDAD DE HORAS HOMBRE TRABAJADAS</t>
  </si>
  <si>
    <t>CAPACITACIÓN</t>
  </si>
  <si>
    <t>INFORMACION DE CAPACITACION SSOMA</t>
  </si>
  <si>
    <t>Tipo de capacitación</t>
  </si>
  <si>
    <t>Charla diaria</t>
  </si>
  <si>
    <t>Charla semanal</t>
  </si>
  <si>
    <t>Inducción</t>
  </si>
  <si>
    <t>INDUCCIÓN</t>
  </si>
  <si>
    <t>TOTAL HORAS DE CAPACITACIÓN</t>
  </si>
  <si>
    <t>Charlas diarias realizadas</t>
  </si>
  <si>
    <t>Charlas semanales realizadas</t>
  </si>
  <si>
    <t xml:space="preserve">Capacitación específicas realizadas </t>
  </si>
  <si>
    <t>Inducciones realizadas</t>
  </si>
  <si>
    <t>INFORME DE ACCIDENTES - INCIDENTES</t>
  </si>
  <si>
    <t>INFORMACION DE ACCIDENTES</t>
  </si>
  <si>
    <t>INFORMACION DE INCIDENTES</t>
  </si>
  <si>
    <t>INFORMACION DE AMONESTACIONES</t>
  </si>
  <si>
    <t>ACTOS Y CONDICIONES</t>
  </si>
  <si>
    <t>ABRIL 2026</t>
  </si>
  <si>
    <t>06/06</t>
  </si>
  <si>
    <t xml:space="preserve"> HORAS DE CAPACITACIÓN</t>
  </si>
  <si>
    <t>Asistentes RUAG</t>
  </si>
  <si>
    <t>Asistentes SUBCONT</t>
  </si>
  <si>
    <t>Capacitación específica</t>
  </si>
  <si>
    <t>RELACIÓN DE ACCIDENTES / INCIDENTES</t>
  </si>
  <si>
    <t>DOCUMENTACIÓN DE GESTIÓN DE SST</t>
  </si>
  <si>
    <t>5</t>
  </si>
  <si>
    <t>CANTIDAD DE CAPACITACIONES</t>
  </si>
  <si>
    <t>CHARLA SEMANAL</t>
  </si>
  <si>
    <t>CAPACITACIÓN ESPECIFICA</t>
  </si>
  <si>
    <t>TOTAL DE HH CAPACITADAS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</si>
</sst>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1"/>
      <color theme="1"/>
      <name val="Times New Roman"/>
      <family val="1"/>
    </font>
    <font>
      <sz val="10"/>
      <color theme="0" tint="-4.9989318521683403E-2"/>
      <name val="Arial"/>
      <family val="2"/>
    </font>
    <font>
      <b/>
      <sz val="10"/>
      <color rgb="FF4D4D4D"/>
      <name val="Arial Narrow"/>
      <family val="2"/>
    </font>
    <font>
      <sz val="10"/>
      <color rgb="FF4D4D4D"/>
      <name val="Arial Narrow"/>
      <family val="2"/>
    </font>
    <font>
      <b/>
      <sz val="10"/>
      <name val="Arial Narrow"/>
      <family val="2"/>
    </font>
    <font>
      <b/>
      <sz val="14"/>
      <name val="Arial"/>
      <family val="2"/>
    </font>
    <font>
      <sz val="10"/>
      <name val="Arial Narrow"/>
      <family val="2"/>
    </font>
    <font>
      <sz val="10"/>
      <color theme="1"/>
      <name val="Arial"/>
      <family val="2"/>
    </font>
    <font>
      <b/>
      <sz val="18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sz val="10"/>
      <color theme="0" tint="-0.3499862666707357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A1C7"/>
      </left>
      <right style="thin">
        <color rgb="FFB2A1C7"/>
      </right>
      <top style="thin">
        <color rgb="FFB2A1C7"/>
      </top>
      <bottom style="thin">
        <color rgb="FFB2A1C7"/>
      </bottom>
      <diagonal/>
    </border>
    <border>
      <left/>
      <right/>
      <top style="thin">
        <color rgb="FFB2A1C7"/>
      </top>
      <bottom style="thin">
        <color rgb="FFB2A1C7"/>
      </bottom>
      <diagonal/>
    </border>
    <border>
      <left/>
      <right style="thin">
        <color rgb="FFB2A1C7"/>
      </right>
      <top style="thin">
        <color rgb="FFB2A1C7"/>
      </top>
      <bottom style="thin">
        <color rgb="FFB2A1C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21" borderId="0" applyNumberFormat="0" applyBorder="0" applyAlignment="0" applyProtection="0"/>
    <xf numFmtId="0" fontId="5" fillId="5" borderId="0" applyNumberFormat="0" applyBorder="0" applyAlignment="0" applyProtection="0"/>
    <xf numFmtId="0" fontId="6" fillId="22" borderId="5" applyNumberFormat="0" applyAlignment="0" applyProtection="0"/>
    <xf numFmtId="0" fontId="7" fillId="23" borderId="6" applyNumberFormat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5" applyNumberFormat="0" applyAlignment="0" applyProtection="0"/>
    <xf numFmtId="0" fontId="14" fillId="0" borderId="10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24" borderId="11" applyNumberFormat="0" applyFont="0" applyAlignment="0" applyProtection="0"/>
    <xf numFmtId="0" fontId="2" fillId="24" borderId="11" applyNumberFormat="0" applyFont="0" applyAlignment="0" applyProtection="0"/>
    <xf numFmtId="0" fontId="2" fillId="24" borderId="11" applyNumberFormat="0" applyFont="0" applyAlignment="0" applyProtection="0"/>
    <xf numFmtId="0" fontId="15" fillId="22" borderId="12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284">
    <xf numFmtId="0" fontId="0" fillId="0" borderId="0" xfId="0"/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24" fillId="0" borderId="0" xfId="0" applyFont="1"/>
    <xf numFmtId="3" fontId="1" fillId="25" borderId="4" xfId="0" applyNumberFormat="1" applyFont="1" applyFill="1" applyBorder="1" applyAlignment="1">
      <alignment horizontal="center" vertical="center"/>
    </xf>
    <xf numFmtId="0" fontId="1" fillId="25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" fontId="1" fillId="26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14" fontId="2" fillId="25" borderId="4" xfId="0" applyNumberFormat="1" applyFont="1" applyFill="1" applyBorder="1" applyAlignment="1">
      <alignment horizontal="center" vertical="center"/>
    </xf>
    <xf numFmtId="14" fontId="1" fillId="26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" fillId="0" borderId="0" xfId="0" applyFont="1"/>
    <xf numFmtId="3" fontId="2" fillId="3" borderId="4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64" fontId="2" fillId="0" borderId="0" xfId="0" applyNumberFormat="1" applyFont="1"/>
    <xf numFmtId="3" fontId="2" fillId="0" borderId="4" xfId="0" applyNumberFormat="1" applyFont="1" applyBorder="1" applyAlignment="1">
      <alignment horizontal="center" vertical="center"/>
    </xf>
    <xf numFmtId="3" fontId="1" fillId="29" borderId="4" xfId="0" applyNumberFormat="1" applyFont="1" applyFill="1" applyBorder="1" applyAlignment="1">
      <alignment horizontal="center" vertical="center"/>
    </xf>
    <xf numFmtId="0" fontId="1" fillId="29" borderId="4" xfId="0" applyFont="1" applyFill="1" applyBorder="1" applyAlignment="1">
      <alignment horizontal="center" vertical="center"/>
    </xf>
    <xf numFmtId="1" fontId="1" fillId="29" borderId="4" xfId="0" applyNumberFormat="1" applyFont="1" applyFill="1" applyBorder="1" applyAlignment="1">
      <alignment horizontal="center" vertical="center"/>
    </xf>
    <xf numFmtId="165" fontId="1" fillId="29" borderId="4" xfId="0" applyNumberFormat="1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3" fontId="1" fillId="3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4" fontId="26" fillId="3" borderId="0" xfId="0" applyNumberFormat="1" applyFont="1" applyFill="1" applyAlignment="1">
      <alignment vertical="center" wrapText="1"/>
    </xf>
    <xf numFmtId="14" fontId="26" fillId="3" borderId="0" xfId="0" applyNumberFormat="1" applyFont="1" applyFill="1" applyAlignment="1">
      <alignment horizontal="center" vertical="center" wrapText="1"/>
    </xf>
    <xf numFmtId="0" fontId="27" fillId="0" borderId="0" xfId="0" applyFont="1" applyAlignment="1">
      <alignment wrapText="1"/>
    </xf>
    <xf numFmtId="0" fontId="28" fillId="31" borderId="24" xfId="0" applyFont="1" applyFill="1" applyBorder="1" applyAlignment="1">
      <alignment horizontal="center" vertical="center" wrapText="1"/>
    </xf>
    <xf numFmtId="0" fontId="29" fillId="0" borderId="24" xfId="0" applyFont="1" applyBorder="1" applyAlignment="1" applyProtection="1">
      <alignment horizontal="center" vertical="center" wrapText="1"/>
      <protection locked="0"/>
    </xf>
    <xf numFmtId="0" fontId="29" fillId="0" borderId="24" xfId="0" applyFont="1" applyBorder="1" applyAlignment="1" applyProtection="1">
      <alignment vertical="center" wrapText="1"/>
      <protection locked="0"/>
    </xf>
    <xf numFmtId="0" fontId="28" fillId="31" borderId="25" xfId="0" applyFont="1" applyFill="1" applyBorder="1" applyAlignment="1">
      <alignment vertical="center" wrapText="1"/>
    </xf>
    <xf numFmtId="0" fontId="28" fillId="31" borderId="26" xfId="0" applyFont="1" applyFill="1" applyBorder="1" applyAlignment="1">
      <alignment vertical="center" wrapText="1"/>
    </xf>
    <xf numFmtId="0" fontId="29" fillId="0" borderId="25" xfId="0" applyFont="1" applyBorder="1" applyAlignment="1" applyProtection="1">
      <alignment vertical="center" wrapText="1"/>
      <protection locked="0"/>
    </xf>
    <xf numFmtId="0" fontId="29" fillId="0" borderId="26" xfId="0" applyFont="1" applyBorder="1" applyAlignment="1" applyProtection="1">
      <alignment vertical="center" wrapText="1"/>
      <protection locked="0"/>
    </xf>
    <xf numFmtId="0" fontId="30" fillId="31" borderId="4" xfId="0" applyFont="1" applyFill="1" applyBorder="1" applyAlignment="1">
      <alignment horizontal="center" vertical="center"/>
    </xf>
    <xf numFmtId="0" fontId="30" fillId="31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 applyProtection="1">
      <alignment vertical="center" wrapText="1"/>
      <protection locked="0"/>
    </xf>
    <xf numFmtId="14" fontId="29" fillId="0" borderId="4" xfId="0" applyNumberFormat="1" applyFont="1" applyBorder="1" applyAlignment="1" applyProtection="1">
      <alignment vertical="center" wrapText="1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14" fontId="2" fillId="0" borderId="0" xfId="0" applyNumberFormat="1" applyFont="1"/>
    <xf numFmtId="0" fontId="2" fillId="0" borderId="0" xfId="0" applyFont="1" applyAlignment="1">
      <alignment vertical="center"/>
    </xf>
    <xf numFmtId="0" fontId="32" fillId="25" borderId="24" xfId="0" applyFont="1" applyFill="1" applyBorder="1" applyAlignment="1" applyProtection="1">
      <alignment horizontal="center" vertical="center" wrapText="1"/>
      <protection locked="0"/>
    </xf>
    <xf numFmtId="0" fontId="30" fillId="31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2" fillId="0" borderId="24" xfId="0" applyFont="1" applyBorder="1" applyAlignment="1" applyProtection="1">
      <alignment horizontal="center" vertical="center" wrapText="1"/>
      <protection locked="0"/>
    </xf>
    <xf numFmtId="0" fontId="28" fillId="32" borderId="4" xfId="0" applyFont="1" applyFill="1" applyBorder="1" applyAlignment="1">
      <alignment horizontal="center" vertical="center"/>
    </xf>
    <xf numFmtId="0" fontId="28" fillId="32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top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0" xfId="36"/>
    <xf numFmtId="3" fontId="23" fillId="30" borderId="4" xfId="36" applyNumberFormat="1" applyFont="1" applyFill="1" applyBorder="1" applyAlignment="1">
      <alignment horizontal="center" vertical="center"/>
    </xf>
    <xf numFmtId="0" fontId="23" fillId="3" borderId="4" xfId="36" applyFont="1" applyFill="1" applyBorder="1" applyAlignment="1">
      <alignment horizontal="center" vertical="center" wrapText="1"/>
    </xf>
    <xf numFmtId="3" fontId="23" fillId="3" borderId="4" xfId="36" applyNumberFormat="1" applyFont="1" applyFill="1" applyBorder="1" applyAlignment="1">
      <alignment horizontal="center" vertical="center"/>
    </xf>
    <xf numFmtId="0" fontId="23" fillId="30" borderId="4" xfId="36" applyFont="1" applyFill="1" applyBorder="1" applyAlignment="1">
      <alignment horizontal="center" vertical="center"/>
    </xf>
    <xf numFmtId="0" fontId="2" fillId="0" borderId="0" xfId="36" applyAlignment="1">
      <alignment wrapText="1"/>
    </xf>
    <xf numFmtId="164" fontId="37" fillId="0" borderId="4" xfId="36" applyNumberFormat="1" applyFont="1" applyBorder="1" applyAlignment="1">
      <alignment horizontal="center" vertical="center"/>
    </xf>
    <xf numFmtId="4" fontId="31" fillId="25" borderId="4" xfId="36" applyNumberFormat="1" applyFont="1" applyFill="1" applyBorder="1" applyAlignment="1">
      <alignment horizontal="center" vertical="center"/>
    </xf>
    <xf numFmtId="0" fontId="2" fillId="0" borderId="0" xfId="36" applyAlignment="1">
      <alignment vertical="center"/>
    </xf>
    <xf numFmtId="0" fontId="2" fillId="2" borderId="0" xfId="36" applyFill="1" applyAlignment="1">
      <alignment horizontal="left" vertical="center"/>
    </xf>
    <xf numFmtId="0" fontId="2" fillId="3" borderId="0" xfId="36" applyFill="1" applyAlignment="1">
      <alignment horizontal="center" vertical="center"/>
    </xf>
    <xf numFmtId="1" fontId="2" fillId="2" borderId="0" xfId="36" applyNumberFormat="1" applyFill="1" applyAlignment="1">
      <alignment horizontal="center" vertical="center"/>
    </xf>
    <xf numFmtId="0" fontId="38" fillId="31" borderId="4" xfId="36" applyFont="1" applyFill="1" applyBorder="1" applyAlignment="1">
      <alignment horizontal="center" vertical="center" wrapText="1"/>
    </xf>
    <xf numFmtId="0" fontId="39" fillId="3" borderId="4" xfId="36" applyFont="1" applyFill="1" applyBorder="1" applyAlignment="1">
      <alignment horizontal="center" vertical="center"/>
    </xf>
    <xf numFmtId="0" fontId="35" fillId="34" borderId="4" xfId="36" applyFont="1" applyFill="1" applyBorder="1" applyAlignment="1">
      <alignment horizontal="center" vertical="center"/>
    </xf>
    <xf numFmtId="14" fontId="35" fillId="34" borderId="4" xfId="36" applyNumberFormat="1" applyFont="1" applyFill="1" applyBorder="1" applyAlignment="1">
      <alignment horizontal="center" vertical="center"/>
    </xf>
    <xf numFmtId="3" fontId="33" fillId="36" borderId="4" xfId="0" applyNumberFormat="1" applyFont="1" applyFill="1" applyBorder="1" applyAlignment="1">
      <alignment horizontal="center" vertical="center"/>
    </xf>
    <xf numFmtId="3" fontId="2" fillId="36" borderId="4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22" xfId="0" applyFont="1" applyFill="1" applyBorder="1" applyAlignment="1">
      <alignment vertical="center"/>
    </xf>
    <xf numFmtId="0" fontId="39" fillId="3" borderId="17" xfId="36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 wrapText="1"/>
    </xf>
    <xf numFmtId="0" fontId="1" fillId="26" borderId="15" xfId="0" applyFont="1" applyFill="1" applyBorder="1" applyAlignment="1">
      <alignment horizontal="center" vertical="center" wrapText="1"/>
    </xf>
    <xf numFmtId="0" fontId="23" fillId="26" borderId="15" xfId="36" applyFont="1" applyFill="1" applyBorder="1" applyAlignment="1">
      <alignment horizontal="center" vertical="center" wrapText="1"/>
    </xf>
    <xf numFmtId="0" fontId="39" fillId="3" borderId="4" xfId="36" applyFont="1" applyFill="1" applyBorder="1" applyAlignment="1">
      <alignment horizontal="center" vertical="center" wrapText="1"/>
    </xf>
    <xf numFmtId="0" fontId="41" fillId="35" borderId="0" xfId="36" applyFont="1" applyFill="1"/>
    <xf numFmtId="0" fontId="2" fillId="35" borderId="0" xfId="36" applyFill="1"/>
    <xf numFmtId="0" fontId="40" fillId="34" borderId="13" xfId="36" applyFont="1" applyFill="1" applyBorder="1" applyAlignment="1">
      <alignment horizontal="center" vertical="center"/>
    </xf>
    <xf numFmtId="14" fontId="40" fillId="34" borderId="4" xfId="36" applyNumberFormat="1" applyFont="1" applyFill="1" applyBorder="1" applyAlignment="1">
      <alignment horizontal="center" vertical="center"/>
    </xf>
    <xf numFmtId="1" fontId="1" fillId="25" borderId="4" xfId="0" applyNumberFormat="1" applyFont="1" applyFill="1" applyBorder="1" applyAlignment="1">
      <alignment horizontal="center" vertical="center"/>
    </xf>
    <xf numFmtId="14" fontId="40" fillId="37" borderId="4" xfId="36" applyNumberFormat="1" applyFont="1" applyFill="1" applyBorder="1" applyAlignment="1">
      <alignment horizontal="center" vertical="center"/>
    </xf>
    <xf numFmtId="0" fontId="21" fillId="37" borderId="13" xfId="36" applyFont="1" applyFill="1" applyBorder="1" applyAlignment="1">
      <alignment horizontal="center" vertical="center"/>
    </xf>
    <xf numFmtId="14" fontId="21" fillId="37" borderId="4" xfId="36" applyNumberFormat="1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center" vertical="center"/>
    </xf>
    <xf numFmtId="0" fontId="2" fillId="36" borderId="4" xfId="0" applyFont="1" applyFill="1" applyBorder="1" applyAlignment="1">
      <alignment horizontal="center" vertical="center"/>
    </xf>
    <xf numFmtId="0" fontId="39" fillId="36" borderId="4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8" borderId="4" xfId="0" applyFont="1" applyFill="1" applyBorder="1" applyAlignment="1">
      <alignment horizontal="center" vertical="center"/>
    </xf>
    <xf numFmtId="0" fontId="1" fillId="28" borderId="14" xfId="0" applyFont="1" applyFill="1" applyBorder="1" applyAlignment="1">
      <alignment horizontal="center" vertical="center"/>
    </xf>
    <xf numFmtId="0" fontId="1" fillId="28" borderId="3" xfId="0" applyFont="1" applyFill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0" fontId="1" fillId="2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1"/>
    </xf>
    <xf numFmtId="49" fontId="1" fillId="2" borderId="4" xfId="0" applyNumberFormat="1" applyFont="1" applyFill="1" applyBorder="1" applyAlignment="1">
      <alignment horizontal="left" vertical="center" indent="1"/>
    </xf>
    <xf numFmtId="0" fontId="22" fillId="26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2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27" borderId="2" xfId="0" applyFont="1" applyFill="1" applyBorder="1" applyAlignment="1">
      <alignment horizontal="center" vertical="center"/>
    </xf>
    <xf numFmtId="0" fontId="1" fillId="28" borderId="4" xfId="0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26" borderId="4" xfId="0" applyFont="1" applyFill="1" applyBorder="1" applyAlignment="1">
      <alignment horizontal="center" vertical="center"/>
    </xf>
    <xf numFmtId="0" fontId="18" fillId="2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9" fillId="0" borderId="4" xfId="0" applyFont="1" applyBorder="1" applyAlignment="1" applyProtection="1">
      <alignment horizontal="left" vertical="center" wrapText="1"/>
      <protection locked="0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31" borderId="4" xfId="0" applyFont="1" applyFill="1" applyBorder="1" applyAlignment="1">
      <alignment horizontal="center" vertical="center"/>
    </xf>
    <xf numFmtId="0" fontId="30" fillId="31" borderId="4" xfId="0" applyFont="1" applyFill="1" applyBorder="1" applyAlignment="1">
      <alignment horizontal="center" vertical="center" wrapText="1"/>
    </xf>
    <xf numFmtId="14" fontId="29" fillId="0" borderId="4" xfId="0" applyNumberFormat="1" applyFont="1" applyBorder="1" applyAlignment="1" applyProtection="1">
      <alignment horizontal="center" vertical="center" wrapText="1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26" borderId="4" xfId="0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/>
    </xf>
    <xf numFmtId="0" fontId="31" fillId="26" borderId="19" xfId="0" applyFont="1" applyFill="1" applyBorder="1" applyAlignment="1">
      <alignment horizontal="center" vertical="center" wrapText="1"/>
    </xf>
    <xf numFmtId="0" fontId="31" fillId="26" borderId="17" xfId="0" applyFont="1" applyFill="1" applyBorder="1" applyAlignment="1">
      <alignment horizontal="center" vertical="center" wrapText="1"/>
    </xf>
    <xf numFmtId="0" fontId="31" fillId="26" borderId="20" xfId="0" applyFont="1" applyFill="1" applyBorder="1" applyAlignment="1">
      <alignment horizontal="center" vertical="center" wrapText="1"/>
    </xf>
    <xf numFmtId="0" fontId="31" fillId="26" borderId="0" xfId="0" applyFont="1" applyFill="1" applyAlignment="1">
      <alignment horizontal="center" vertical="center" wrapText="1"/>
    </xf>
    <xf numFmtId="0" fontId="31" fillId="26" borderId="18" xfId="0" applyFont="1" applyFill="1" applyBorder="1" applyAlignment="1">
      <alignment horizontal="center" vertical="center" wrapText="1"/>
    </xf>
    <xf numFmtId="0" fontId="31" fillId="26" borderId="16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left" vertical="center"/>
    </xf>
    <xf numFmtId="0" fontId="23" fillId="25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9" fillId="2" borderId="4" xfId="0" applyFont="1" applyFill="1" applyBorder="1" applyAlignment="1">
      <alignment horizontal="left" vertical="center"/>
    </xf>
    <xf numFmtId="0" fontId="23" fillId="2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1" fillId="2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5" fillId="37" borderId="17" xfId="0" applyFont="1" applyFill="1" applyBorder="1" applyAlignment="1">
      <alignment horizontal="center" vertical="center"/>
    </xf>
    <xf numFmtId="0" fontId="35" fillId="37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17" fontId="23" fillId="25" borderId="14" xfId="0" applyNumberFormat="1" applyFont="1" applyFill="1" applyBorder="1" applyAlignment="1">
      <alignment horizontal="center" vertical="center"/>
    </xf>
    <xf numFmtId="17" fontId="23" fillId="25" borderId="3" xfId="0" applyNumberFormat="1" applyFont="1" applyFill="1" applyBorder="1" applyAlignment="1">
      <alignment horizontal="center" vertical="center"/>
    </xf>
    <xf numFmtId="17" fontId="23" fillId="25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left" vertical="center" indent="2"/>
    </xf>
    <xf numFmtId="49" fontId="1" fillId="2" borderId="3" xfId="0" applyNumberFormat="1" applyFont="1" applyFill="1" applyBorder="1" applyAlignment="1">
      <alignment horizontal="left" vertical="center" indent="2"/>
    </xf>
    <xf numFmtId="49" fontId="1" fillId="2" borderId="13" xfId="0" applyNumberFormat="1" applyFont="1" applyFill="1" applyBorder="1" applyAlignment="1">
      <alignment horizontal="left" vertical="center" indent="2"/>
    </xf>
    <xf numFmtId="0" fontId="1" fillId="25" borderId="14" xfId="0" applyFont="1" applyFill="1" applyBorder="1" applyAlignment="1">
      <alignment horizontal="left" vertical="center"/>
    </xf>
    <xf numFmtId="0" fontId="1" fillId="25" borderId="13" xfId="0" applyFont="1" applyFill="1" applyBorder="1" applyAlignment="1">
      <alignment horizontal="left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 indent="2"/>
    </xf>
    <xf numFmtId="0" fontId="1" fillId="2" borderId="3" xfId="0" applyFont="1" applyFill="1" applyBorder="1" applyAlignment="1">
      <alignment horizontal="left" vertical="center" indent="2"/>
    </xf>
    <xf numFmtId="0" fontId="1" fillId="2" borderId="13" xfId="0" applyFont="1" applyFill="1" applyBorder="1" applyAlignment="1">
      <alignment horizontal="left" vertical="center" indent="2"/>
    </xf>
    <xf numFmtId="0" fontId="1" fillId="2" borderId="14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horizontal="left" vertical="center" indent="1"/>
    </xf>
    <xf numFmtId="0" fontId="25" fillId="26" borderId="4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left" vertical="center"/>
    </xf>
    <xf numFmtId="0" fontId="36" fillId="29" borderId="14" xfId="36" applyFont="1" applyFill="1" applyBorder="1" applyAlignment="1">
      <alignment horizontal="center" vertical="center"/>
    </xf>
    <xf numFmtId="0" fontId="36" fillId="29" borderId="3" xfId="36" applyFont="1" applyFill="1" applyBorder="1" applyAlignment="1">
      <alignment horizontal="center" vertical="center"/>
    </xf>
    <xf numFmtId="0" fontId="36" fillId="29" borderId="13" xfId="36" applyFont="1" applyFill="1" applyBorder="1" applyAlignment="1">
      <alignment horizontal="center" vertical="center"/>
    </xf>
    <xf numFmtId="0" fontId="18" fillId="2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35" fillId="34" borderId="14" xfId="36" applyFont="1" applyFill="1" applyBorder="1" applyAlignment="1">
      <alignment horizontal="center" vertical="center"/>
    </xf>
    <xf numFmtId="0" fontId="35" fillId="34" borderId="3" xfId="36" applyFont="1" applyFill="1" applyBorder="1" applyAlignment="1">
      <alignment horizontal="center" vertical="center"/>
    </xf>
    <xf numFmtId="0" fontId="35" fillId="34" borderId="13" xfId="36" applyFont="1" applyFill="1" applyBorder="1" applyAlignment="1">
      <alignment horizontal="center" vertical="center"/>
    </xf>
    <xf numFmtId="0" fontId="1" fillId="25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5" borderId="14" xfId="0" applyFont="1" applyFill="1" applyBorder="1" applyAlignment="1">
      <alignment horizontal="center" vertical="center"/>
    </xf>
    <xf numFmtId="0" fontId="1" fillId="25" borderId="3" xfId="0" applyFont="1" applyFill="1" applyBorder="1" applyAlignment="1">
      <alignment horizontal="center" vertical="center"/>
    </xf>
    <xf numFmtId="0" fontId="1" fillId="25" borderId="13" xfId="0" applyFont="1" applyFill="1" applyBorder="1" applyAlignment="1">
      <alignment horizontal="center" vertical="center"/>
    </xf>
    <xf numFmtId="14" fontId="37" fillId="0" borderId="4" xfId="36" applyNumberFormat="1" applyFont="1" applyBorder="1" applyAlignment="1">
      <alignment horizontal="center" vertical="center"/>
    </xf>
    <xf numFmtId="0" fontId="23" fillId="33" borderId="4" xfId="36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3" fillId="26" borderId="17" xfId="36" applyFont="1" applyFill="1" applyBorder="1" applyAlignment="1">
      <alignment horizontal="center" vertical="center"/>
    </xf>
    <xf numFmtId="0" fontId="23" fillId="26" borderId="21" xfId="36" applyFont="1" applyFill="1" applyBorder="1" applyAlignment="1">
      <alignment horizontal="center" vertical="center"/>
    </xf>
    <xf numFmtId="0" fontId="2" fillId="0" borderId="3" xfId="36" applyBorder="1" applyAlignment="1">
      <alignment horizontal="center"/>
    </xf>
    <xf numFmtId="0" fontId="23" fillId="26" borderId="14" xfId="36" applyFont="1" applyFill="1" applyBorder="1" applyAlignment="1">
      <alignment horizontal="center" vertical="center"/>
    </xf>
    <xf numFmtId="0" fontId="23" fillId="26" borderId="3" xfId="36" applyFont="1" applyFill="1" applyBorder="1" applyAlignment="1">
      <alignment horizontal="center" vertical="center"/>
    </xf>
    <xf numFmtId="0" fontId="23" fillId="26" borderId="13" xfId="36" applyFont="1" applyFill="1" applyBorder="1" applyAlignment="1">
      <alignment horizontal="center" vertical="center"/>
    </xf>
    <xf numFmtId="0" fontId="35" fillId="34" borderId="4" xfId="36" applyFont="1" applyFill="1" applyBorder="1" applyAlignment="1">
      <alignment horizontal="center" vertical="center"/>
    </xf>
    <xf numFmtId="0" fontId="23" fillId="25" borderId="14" xfId="36" applyFont="1" applyFill="1" applyBorder="1" applyAlignment="1">
      <alignment horizontal="center" vertical="center"/>
    </xf>
    <xf numFmtId="0" fontId="23" fillId="25" borderId="3" xfId="36" applyFont="1" applyFill="1" applyBorder="1" applyAlignment="1">
      <alignment horizontal="center" vertical="center"/>
    </xf>
    <xf numFmtId="0" fontId="23" fillId="25" borderId="13" xfId="36" applyFont="1" applyFill="1" applyBorder="1" applyAlignment="1">
      <alignment horizontal="center" vertical="center"/>
    </xf>
    <xf numFmtId="4" fontId="31" fillId="25" borderId="14" xfId="36" applyNumberFormat="1" applyFont="1" applyFill="1" applyBorder="1" applyAlignment="1">
      <alignment horizontal="center" vertical="center"/>
    </xf>
    <xf numFmtId="4" fontId="31" fillId="25" borderId="13" xfId="36" applyNumberFormat="1" applyFont="1" applyFill="1" applyBorder="1" applyAlignment="1">
      <alignment horizontal="center" vertical="center"/>
    </xf>
    <xf numFmtId="0" fontId="34" fillId="3" borderId="3" xfId="36" applyFont="1" applyFill="1" applyBorder="1" applyAlignment="1">
      <alignment horizontal="center" vertical="center"/>
    </xf>
    <xf numFmtId="0" fontId="34" fillId="3" borderId="13" xfId="36" applyFont="1" applyFill="1" applyBorder="1" applyAlignment="1">
      <alignment horizontal="center" vertical="center"/>
    </xf>
    <xf numFmtId="0" fontId="40" fillId="34" borderId="14" xfId="36" applyFont="1" applyFill="1" applyBorder="1" applyAlignment="1">
      <alignment horizontal="center" vertical="center"/>
    </xf>
    <xf numFmtId="0" fontId="40" fillId="34" borderId="3" xfId="36" applyFont="1" applyFill="1" applyBorder="1" applyAlignment="1">
      <alignment horizontal="center" vertical="center"/>
    </xf>
    <xf numFmtId="0" fontId="40" fillId="34" borderId="13" xfId="36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21" fillId="37" borderId="14" xfId="36" applyFont="1" applyFill="1" applyBorder="1" applyAlignment="1">
      <alignment horizontal="center" vertical="center"/>
    </xf>
    <xf numFmtId="0" fontId="21" fillId="37" borderId="3" xfId="36" applyFont="1" applyFill="1" applyBorder="1" applyAlignment="1">
      <alignment horizontal="center" vertical="center"/>
    </xf>
    <xf numFmtId="0" fontId="21" fillId="37" borderId="13" xfId="36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2" fontId="37" fillId="0" borderId="4" xfId="36" applyNumberFormat="1" applyFont="1" applyBorder="1" applyAlignment="1">
      <alignment horizontal="center" vertical="center"/>
    </xf>
    <xf numFmtId="2" fontId="37" fillId="3" borderId="4" xfId="36" applyNumberFormat="1" applyFont="1" applyFill="1" applyBorder="1" applyAlignment="1">
      <alignment horizontal="center" vertical="center"/>
    </xf>
    <xf numFmtId="49" fontId="37" fillId="3" borderId="14" xfId="36" applyNumberFormat="1" applyFont="1" applyFill="1" applyBorder="1" applyAlignment="1">
      <alignment horizontal="center" vertical="center" wrapText="1"/>
    </xf>
    <xf numFmtId="49" fontId="37" fillId="3" borderId="3" xfId="36" applyNumberFormat="1" applyFont="1" applyFill="1" applyBorder="1" applyAlignment="1">
      <alignment horizontal="center" vertical="center" wrapText="1"/>
    </xf>
    <xf numFmtId="49" fontId="37" fillId="3" borderId="13" xfId="36" applyNumberFormat="1" applyFont="1" applyFill="1" applyBorder="1" applyAlignment="1">
      <alignment horizontal="center" vertical="center" wrapText="1"/>
    </xf>
    <xf numFmtId="49" fontId="37" fillId="0" borderId="4" xfId="36" applyNumberFormat="1" applyFont="1" applyBorder="1" applyAlignment="1">
      <alignment horizontal="center"/>
    </xf>
    <xf numFmtId="2" fontId="37" fillId="3" borderId="4" xfId="36" applyNumberFormat="1" applyFont="1" applyFill="1" applyBorder="1" applyAlignment="1">
      <alignment horizontal="center" vertical="center" wrapText="1"/>
    </xf>
    <xf numFmtId="2" fontId="37" fillId="3" borderId="13" xfId="36" applyNumberFormat="1" applyFont="1" applyFill="1" applyBorder="1" applyAlignment="1">
      <alignment horizontal="center"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ormal" xfId="0" builtinId="0"/>
    <cellStyle name="Normal 2" xfId="36" xr:uid="{00000000-0005-0000-0000-000024000000}"/>
    <cellStyle name="Normal 3" xfId="37" xr:uid="{00000000-0005-0000-0000-000025000000}"/>
    <cellStyle name="Normal 4" xfId="38" xr:uid="{00000000-0005-0000-0000-000026000000}"/>
    <cellStyle name="Note" xfId="39" xr:uid="{00000000-0005-0000-0000-000027000000}"/>
    <cellStyle name="Note 2" xfId="40" xr:uid="{00000000-0005-0000-0000-000028000000}"/>
    <cellStyle name="Note_reporte_semanal_del_02_al_08_de_abril_2011" xfId="41" xr:uid="{00000000-0005-0000-0000-000029000000}"/>
    <cellStyle name="Output" xfId="42" xr:uid="{00000000-0005-0000-0000-00002A000000}"/>
    <cellStyle name="Title" xfId="43" xr:uid="{00000000-0005-0000-0000-00002B000000}"/>
    <cellStyle name="Warning Text" xfId="44" xr:uid="{00000000-0005-0000-0000-00002C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HORAS</a:t>
            </a:r>
            <a:r>
              <a:rPr lang="es-PE" b="1" baseline="0">
                <a:solidFill>
                  <a:schemeClr val="tx1"/>
                </a:solidFill>
              </a:rPr>
              <a:t> HOMBRE TRABAJADAS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60-49FD-AFD0-4057B5935AC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60-49FD-AFD0-4057B5935AC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D60-49FD-AFD0-4057B5935AC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60-49FD-AFD0-4057B5935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01'!$B$67:$B$70</c:f>
              <c:strCache>
                <c:ptCount val="4"/>
                <c:pt idx="0">
                  <c:v>Total HH personal Obrero RUAG</c:v>
                </c:pt>
                <c:pt idx="1">
                  <c:v>Total HH personal Obrero SUBCONTRATISTA</c:v>
                </c:pt>
                <c:pt idx="2">
                  <c:v>Total HH personal STAFF RUAG</c:v>
                </c:pt>
                <c:pt idx="3">
                  <c:v>Total HH personal STAFF SUBCONTRATISTA</c:v>
                </c:pt>
              </c:strCache>
            </c:strRef>
          </c:cat>
          <c:val>
            <c:numRef>
              <c:f>'SEMANA 01'!$K$67:$K$70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0-49FD-AFD0-4057B5935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901552"/>
        <c:axId val="1105897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'SEMANA 01'!$B$67:$B$70</c15:sqref>
                        </c15:formulaRef>
                      </c:ext>
                    </c:extLst>
                    <c:strCache>
                      <c:ptCount val="4"/>
                      <c:pt idx="0">
                        <c:v>Total HH personal Obrero RUAG</c:v>
                      </c:pt>
                      <c:pt idx="1">
                        <c:v>Total HH personal Obrero SUBCONTRATISTA</c:v>
                      </c:pt>
                      <c:pt idx="2">
                        <c:v>Total HH personal STAFF RUAG</c:v>
                      </c:pt>
                      <c:pt idx="3">
                        <c:v>Total HH personal STAFF SUBCONTRATISTA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'SEMANA 01'!$C$67:$C$70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D60-49FD-AFD0-4057B5935AC9}"/>
                  </c:ext>
                </c:extLst>
              </c15:ser>
            </c15:filteredBarSeries>
          </c:ext>
        </c:extLst>
      </c:barChart>
      <c:catAx>
        <c:axId val="110590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897232"/>
        <c:crosses val="autoZero"/>
        <c:auto val="1"/>
        <c:lblAlgn val="ctr"/>
        <c:lblOffset val="100"/>
        <c:noMultiLvlLbl val="0"/>
      </c:catAx>
      <c:valAx>
        <c:axId val="11058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01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chemeClr val="tx1"/>
                </a:solidFill>
              </a:rPr>
              <a:t>HORAS HOMBRE TRABAJADAS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01'!$B$79:$B$81</c:f>
              <c:strCache>
                <c:ptCount val="3"/>
                <c:pt idx="0">
                  <c:v>HORARIO DIURNO</c:v>
                </c:pt>
                <c:pt idx="1">
                  <c:v>HORARIO NOCTURNO</c:v>
                </c:pt>
                <c:pt idx="2">
                  <c:v>HORARIO EXTENDIDO</c:v>
                </c:pt>
              </c:strCache>
            </c:strRef>
          </c:cat>
          <c:val>
            <c:numRef>
              <c:f>'SEMANA 01'!$C$79:$C$81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4-419D-B29A-2D7FFC5F3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182432"/>
        <c:axId val="1317182912"/>
      </c:barChart>
      <c:catAx>
        <c:axId val="13171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912"/>
        <c:crosses val="autoZero"/>
        <c:auto val="1"/>
        <c:lblAlgn val="ctr"/>
        <c:lblOffset val="100"/>
        <c:noMultiLvlLbl val="0"/>
      </c:catAx>
      <c:valAx>
        <c:axId val="13171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01'!$B$134:$B$136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01'!$C$134:$C$136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F1DC-48AC-AD89-16CF29DF04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01'!$B$134:$B$136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01'!$K$134:$K$136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C-48AC-AD89-16CF29DF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302528"/>
        <c:axId val="1269300128"/>
      </c:barChart>
      <c:catAx>
        <c:axId val="12693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0128"/>
        <c:crosses val="autoZero"/>
        <c:auto val="1"/>
        <c:lblAlgn val="ctr"/>
        <c:lblOffset val="100"/>
        <c:noMultiLvlLbl val="0"/>
      </c:catAx>
      <c:valAx>
        <c:axId val="12693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01'!$B$144:$B$145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01'!$C$144:$C$145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1827-4CF0-BF57-692A8FB90BF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01'!$B$144:$B$145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01'!$K$144:$K$145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7-4CF0-BF57-692A8FB90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08112"/>
        <c:axId val="1105999952"/>
      </c:barChart>
      <c:catAx>
        <c:axId val="11060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99952"/>
        <c:crosses val="autoZero"/>
        <c:auto val="1"/>
        <c:lblAlgn val="ctr"/>
        <c:lblOffset val="100"/>
        <c:noMultiLvlLbl val="0"/>
      </c:catAx>
      <c:valAx>
        <c:axId val="110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60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600" b="1">
                <a:solidFill>
                  <a:schemeClr val="tx1"/>
                </a:solidFill>
              </a:rPr>
              <a:t>AMONESTACIONES</a:t>
            </a:r>
          </a:p>
        </c:rich>
      </c:tx>
      <c:layout>
        <c:manualLayout>
          <c:xMode val="edge"/>
          <c:yMode val="edge"/>
          <c:x val="0.3994084644629613"/>
          <c:y val="2.5191172378460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'SEMANA 01'!$B$154:$B$157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01'!$C$154:$C$157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428-4A87-9D7C-41432389A7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428-4A87-9D7C-41432389A7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428-4A87-9D7C-41432389A79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428-4A87-9D7C-41432389A79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428-4A87-9D7C-41432389A791}"/>
              </c:ext>
            </c:extLst>
          </c:dPt>
          <c:cat>
            <c:strRef>
              <c:f>'SEMANA 01'!$B$154:$B$157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01'!$K$154:$K$157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8-4A87-9D7C-41432389A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6125376"/>
        <c:axId val="1316122496"/>
        <c:axId val="0"/>
      </c:bar3DChart>
      <c:catAx>
        <c:axId val="1316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2496"/>
        <c:crosses val="autoZero"/>
        <c:auto val="1"/>
        <c:lblAlgn val="ctr"/>
        <c:lblOffset val="100"/>
        <c:noMultiLvlLbl val="0"/>
      </c:catAx>
      <c:valAx>
        <c:axId val="13161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HORAS</a:t>
            </a:r>
            <a:r>
              <a:rPr lang="es-PE" b="1" baseline="0">
                <a:solidFill>
                  <a:schemeClr val="tx1"/>
                </a:solidFill>
              </a:rPr>
              <a:t> HOMBRE TRABAJADAS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09-4B93-9FE2-7D68CE3FB5C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09-4B93-9FE2-7D68CE3FB5C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09-4B93-9FE2-7D68CE3FB5C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09-4B93-9FE2-7D68CE3FB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02'!$B$67:$B$70</c:f>
              <c:strCache>
                <c:ptCount val="4"/>
                <c:pt idx="0">
                  <c:v>Total HH personal Obrero RUAG</c:v>
                </c:pt>
                <c:pt idx="1">
                  <c:v>Total HH personal Obrero SUBCONTRATISTA</c:v>
                </c:pt>
                <c:pt idx="2">
                  <c:v>Total HH personal STAFF RUAG</c:v>
                </c:pt>
                <c:pt idx="3">
                  <c:v>Total HH personal STAFF SUBCONTRATISTA</c:v>
                </c:pt>
              </c:strCache>
            </c:strRef>
          </c:cat>
          <c:val>
            <c:numRef>
              <c:f>'SEMANA 02'!$K$67:$K$70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09-4B93-9FE2-7D68CE3FB5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901552"/>
        <c:axId val="1105897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'SEMANA 02'!$B$67:$B$70</c15:sqref>
                        </c15:formulaRef>
                      </c:ext>
                    </c:extLst>
                    <c:strCache>
                      <c:ptCount val="4"/>
                      <c:pt idx="0">
                        <c:v>Total HH personal Obrero RUAG</c:v>
                      </c:pt>
                      <c:pt idx="1">
                        <c:v>Total HH personal Obrero SUBCONTRATISTA</c:v>
                      </c:pt>
                      <c:pt idx="2">
                        <c:v>Total HH personal STAFF RUAG</c:v>
                      </c:pt>
                      <c:pt idx="3">
                        <c:v>Total HH personal STAFF SUBCONTRATISTA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'SEMANA 02'!$C$67:$C$70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209-4B93-9FE2-7D68CE3FB5C2}"/>
                  </c:ext>
                </c:extLst>
              </c15:ser>
            </c15:filteredBarSeries>
          </c:ext>
        </c:extLst>
      </c:barChart>
      <c:catAx>
        <c:axId val="110590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897232"/>
        <c:crosses val="autoZero"/>
        <c:auto val="1"/>
        <c:lblAlgn val="ctr"/>
        <c:lblOffset val="100"/>
        <c:noMultiLvlLbl val="0"/>
      </c:catAx>
      <c:valAx>
        <c:axId val="11058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01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chemeClr val="tx1"/>
                </a:solidFill>
              </a:rPr>
              <a:t>HORAS HOMBRE TRABAJADAS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02'!$B$79:$B$81</c:f>
              <c:strCache>
                <c:ptCount val="3"/>
                <c:pt idx="0">
                  <c:v>HORARIO DIURNO</c:v>
                </c:pt>
                <c:pt idx="1">
                  <c:v>HORARIO NOCTURNO</c:v>
                </c:pt>
                <c:pt idx="2">
                  <c:v>HORARIO EXTENDIDO</c:v>
                </c:pt>
              </c:strCache>
            </c:strRef>
          </c:cat>
          <c:val>
            <c:numRef>
              <c:f>'SEMANA 02'!$C$79:$C$81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D-4FD1-A371-733782221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182432"/>
        <c:axId val="1317182912"/>
      </c:barChart>
      <c:catAx>
        <c:axId val="13171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912"/>
        <c:crosses val="autoZero"/>
        <c:auto val="1"/>
        <c:lblAlgn val="ctr"/>
        <c:lblOffset val="100"/>
        <c:noMultiLvlLbl val="0"/>
      </c:catAx>
      <c:valAx>
        <c:axId val="13171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02'!$B$134:$B$136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02'!$C$134:$C$136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F9C-4380-840B-AABA31FBA54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02'!$B$134:$B$136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02'!$K$134:$K$136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C-4380-840B-AABA31FB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302528"/>
        <c:axId val="1269300128"/>
      </c:barChart>
      <c:catAx>
        <c:axId val="12693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0128"/>
        <c:crosses val="autoZero"/>
        <c:auto val="1"/>
        <c:lblAlgn val="ctr"/>
        <c:lblOffset val="100"/>
        <c:noMultiLvlLbl val="0"/>
      </c:catAx>
      <c:valAx>
        <c:axId val="12693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02'!$B$144:$B$145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02'!$C$144:$C$145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D63C-470D-A0A5-E01736FDA2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02'!$B$144:$B$145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02'!$K$144:$K$145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C-470D-A0A5-E01736FDA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08112"/>
        <c:axId val="1105999952"/>
      </c:barChart>
      <c:catAx>
        <c:axId val="11060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99952"/>
        <c:crosses val="autoZero"/>
        <c:auto val="1"/>
        <c:lblAlgn val="ctr"/>
        <c:lblOffset val="100"/>
        <c:noMultiLvlLbl val="0"/>
      </c:catAx>
      <c:valAx>
        <c:axId val="110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60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600" b="1">
                <a:solidFill>
                  <a:schemeClr val="tx1"/>
                </a:solidFill>
              </a:rPr>
              <a:t>AMONESTACIONES</a:t>
            </a:r>
          </a:p>
        </c:rich>
      </c:tx>
      <c:layout>
        <c:manualLayout>
          <c:xMode val="edge"/>
          <c:yMode val="edge"/>
          <c:x val="0.3994084644629613"/>
          <c:y val="2.5191172378460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'SEMANA 02'!$B$154:$B$157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02'!$C$154:$C$157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AABD-416B-BFF9-334589B7160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ABD-416B-BFF9-334589B716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ABD-416B-BFF9-334589B7160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AABD-416B-BFF9-334589B7160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AABD-416B-BFF9-334589B7160C}"/>
              </c:ext>
            </c:extLst>
          </c:dPt>
          <c:cat>
            <c:strRef>
              <c:f>'SEMANA 02'!$B$154:$B$157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02'!$K$154:$K$157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BD-416B-BFF9-334589B7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6125376"/>
        <c:axId val="1316122496"/>
        <c:axId val="0"/>
      </c:bar3DChart>
      <c:catAx>
        <c:axId val="1316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2496"/>
        <c:crosses val="autoZero"/>
        <c:auto val="1"/>
        <c:lblAlgn val="ctr"/>
        <c:lblOffset val="100"/>
        <c:noMultiLvlLbl val="0"/>
      </c:catAx>
      <c:valAx>
        <c:axId val="13161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HORAS</a:t>
            </a:r>
            <a:r>
              <a:rPr lang="es-PE" b="1" baseline="0">
                <a:solidFill>
                  <a:schemeClr val="tx1"/>
                </a:solidFill>
              </a:rPr>
              <a:t> HOMBRE TRABAJADAS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A4-4C89-B237-0C623C5FCB3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A4-4C89-B237-0C623C5FCB3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A4-4C89-B237-0C623C5FCB3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A4-4C89-B237-0C623C5FCB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03'!$B$67:$B$70</c:f>
              <c:strCache>
                <c:ptCount val="4"/>
                <c:pt idx="0">
                  <c:v>Total HH personal Obrero RUAG</c:v>
                </c:pt>
                <c:pt idx="1">
                  <c:v>Total HH personal Obrero SUBCONTRATISTA</c:v>
                </c:pt>
                <c:pt idx="2">
                  <c:v>Total HH personal STAFF RUAG</c:v>
                </c:pt>
                <c:pt idx="3">
                  <c:v>Total HH personal STAFF SUBCONTRATISTA</c:v>
                </c:pt>
              </c:strCache>
            </c:strRef>
          </c:cat>
          <c:val>
            <c:numRef>
              <c:f>'SEMANA 03'!$K$67:$K$70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A4-4C89-B237-0C623C5FCB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901552"/>
        <c:axId val="1105897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'SEMANA 03'!$B$67:$B$70</c15:sqref>
                        </c15:formulaRef>
                      </c:ext>
                    </c:extLst>
                    <c:strCache>
                      <c:ptCount val="4"/>
                      <c:pt idx="0">
                        <c:v>Total HH personal Obrero RUAG</c:v>
                      </c:pt>
                      <c:pt idx="1">
                        <c:v>Total HH personal Obrero SUBCONTRATISTA</c:v>
                      </c:pt>
                      <c:pt idx="2">
                        <c:v>Total HH personal STAFF RUAG</c:v>
                      </c:pt>
                      <c:pt idx="3">
                        <c:v>Total HH personal STAFF SUBCONTRATISTA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'SEMANA 03'!$C$67:$C$70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5A4-4C89-B237-0C623C5FCB3E}"/>
                  </c:ext>
                </c:extLst>
              </c15:ser>
            </c15:filteredBarSeries>
          </c:ext>
        </c:extLst>
      </c:barChart>
      <c:catAx>
        <c:axId val="110590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897232"/>
        <c:crosses val="autoZero"/>
        <c:auto val="1"/>
        <c:lblAlgn val="ctr"/>
        <c:lblOffset val="100"/>
        <c:noMultiLvlLbl val="0"/>
      </c:catAx>
      <c:valAx>
        <c:axId val="11058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01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chemeClr val="tx1"/>
                </a:solidFill>
              </a:rPr>
              <a:t>HORAS HOMBRE TRABAJADAS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03'!$B$79:$B$81</c:f>
              <c:strCache>
                <c:ptCount val="3"/>
                <c:pt idx="0">
                  <c:v>HORARIO DIURNO</c:v>
                </c:pt>
                <c:pt idx="1">
                  <c:v>HORARIO NOCTURNO</c:v>
                </c:pt>
                <c:pt idx="2">
                  <c:v>HORARIO EXTENDIDO</c:v>
                </c:pt>
              </c:strCache>
            </c:strRef>
          </c:cat>
          <c:val>
            <c:numRef>
              <c:f>'SEMANA 03'!$C$79:$C$81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7-4E5E-A7C1-2B4FA4E9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182432"/>
        <c:axId val="1317182912"/>
      </c:barChart>
      <c:catAx>
        <c:axId val="13171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912"/>
        <c:crosses val="autoZero"/>
        <c:auto val="1"/>
        <c:lblAlgn val="ctr"/>
        <c:lblOffset val="100"/>
        <c:noMultiLvlLbl val="0"/>
      </c:catAx>
      <c:valAx>
        <c:axId val="13171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03'!$B$134:$B$136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03'!$C$134:$C$136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8E2-445B-96FD-A43E6F58F5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03'!$B$134:$B$136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03'!$K$134:$K$136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2-445B-96FD-A43E6F58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302528"/>
        <c:axId val="1269300128"/>
      </c:barChart>
      <c:catAx>
        <c:axId val="12693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0128"/>
        <c:crosses val="autoZero"/>
        <c:auto val="1"/>
        <c:lblAlgn val="ctr"/>
        <c:lblOffset val="100"/>
        <c:noMultiLvlLbl val="0"/>
      </c:catAx>
      <c:valAx>
        <c:axId val="12693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03'!$B$144:$B$145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03'!$C$144:$C$145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7970-406E-9B90-904805A973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03'!$B$144:$B$145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03'!$K$144:$K$145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0-406E-9B90-904805A9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08112"/>
        <c:axId val="1105999952"/>
      </c:barChart>
      <c:catAx>
        <c:axId val="11060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99952"/>
        <c:crosses val="autoZero"/>
        <c:auto val="1"/>
        <c:lblAlgn val="ctr"/>
        <c:lblOffset val="100"/>
        <c:noMultiLvlLbl val="0"/>
      </c:catAx>
      <c:valAx>
        <c:axId val="110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60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600" b="1">
                <a:solidFill>
                  <a:schemeClr val="tx1"/>
                </a:solidFill>
              </a:rPr>
              <a:t>AMONESTACIONES</a:t>
            </a:r>
          </a:p>
        </c:rich>
      </c:tx>
      <c:layout>
        <c:manualLayout>
          <c:xMode val="edge"/>
          <c:yMode val="edge"/>
          <c:x val="0.3994084644629613"/>
          <c:y val="2.5191172378460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'SEMANA 03'!$B$154:$B$157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03'!$C$154:$C$157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E09-464C-A9B1-FAAE543498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E09-464C-A9B1-FAAE543498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E09-464C-A9B1-FAAE5434986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8E09-464C-A9B1-FAAE5434986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8E09-464C-A9B1-FAAE54349860}"/>
              </c:ext>
            </c:extLst>
          </c:dPt>
          <c:cat>
            <c:strRef>
              <c:f>'SEMANA 03'!$B$154:$B$157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03'!$K$154:$K$157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09-464C-A9B1-FAAE5434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6125376"/>
        <c:axId val="1316122496"/>
        <c:axId val="0"/>
      </c:bar3DChart>
      <c:catAx>
        <c:axId val="1316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2496"/>
        <c:crosses val="autoZero"/>
        <c:auto val="1"/>
        <c:lblAlgn val="ctr"/>
        <c:lblOffset val="100"/>
        <c:noMultiLvlLbl val="0"/>
      </c:catAx>
      <c:valAx>
        <c:axId val="13161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HORAS</a:t>
            </a:r>
            <a:r>
              <a:rPr lang="es-PE" b="1" baseline="0">
                <a:solidFill>
                  <a:schemeClr val="tx1"/>
                </a:solidFill>
              </a:rPr>
              <a:t> HOMBRE TRABAJADAS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83-48EC-B62C-F79C8055AE9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83-48EC-B62C-F79C8055AE9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83-48EC-B62C-F79C8055AE9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83-48EC-B62C-F79C8055A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04'!$B$67:$B$70</c:f>
              <c:strCache>
                <c:ptCount val="4"/>
                <c:pt idx="0">
                  <c:v>Total HH personal Obrero RUAG</c:v>
                </c:pt>
                <c:pt idx="1">
                  <c:v>Total HH personal Obrero SUBCONTRATISTA</c:v>
                </c:pt>
                <c:pt idx="2">
                  <c:v>Total HH personal STAFF RUAG</c:v>
                </c:pt>
                <c:pt idx="3">
                  <c:v>Total HH personal STAFF SUBCONTRATISTA</c:v>
                </c:pt>
              </c:strCache>
            </c:strRef>
          </c:cat>
          <c:val>
            <c:numRef>
              <c:f>'SEMANA 04'!$K$67:$K$70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83-48EC-B62C-F79C8055AE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901552"/>
        <c:axId val="1105897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'SEMANA 04'!$B$67:$B$70</c15:sqref>
                        </c15:formulaRef>
                      </c:ext>
                    </c:extLst>
                    <c:strCache>
                      <c:ptCount val="4"/>
                      <c:pt idx="0">
                        <c:v>Total HH personal Obrero RUAG</c:v>
                      </c:pt>
                      <c:pt idx="1">
                        <c:v>Total HH personal Obrero SUBCONTRATISTA</c:v>
                      </c:pt>
                      <c:pt idx="2">
                        <c:v>Total HH personal STAFF RUAG</c:v>
                      </c:pt>
                      <c:pt idx="3">
                        <c:v>Total HH personal STAFF SUBCONTRATISTA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'SEMANA 04'!$C$67:$C$70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A83-48EC-B62C-F79C8055AE9A}"/>
                  </c:ext>
                </c:extLst>
              </c15:ser>
            </c15:filteredBarSeries>
          </c:ext>
        </c:extLst>
      </c:barChart>
      <c:catAx>
        <c:axId val="110590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897232"/>
        <c:crosses val="autoZero"/>
        <c:auto val="1"/>
        <c:lblAlgn val="ctr"/>
        <c:lblOffset val="100"/>
        <c:noMultiLvlLbl val="0"/>
      </c:catAx>
      <c:valAx>
        <c:axId val="11058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01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chemeClr val="tx1"/>
                </a:solidFill>
              </a:rPr>
              <a:t>HORAS HOMBRE TRABAJADAS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04'!$B$79:$B$81</c:f>
              <c:strCache>
                <c:ptCount val="3"/>
                <c:pt idx="0">
                  <c:v>HORARIO DIURNO</c:v>
                </c:pt>
                <c:pt idx="1">
                  <c:v>HORARIO NOCTURNO</c:v>
                </c:pt>
                <c:pt idx="2">
                  <c:v>HORARIO EXTENDIDO</c:v>
                </c:pt>
              </c:strCache>
            </c:strRef>
          </c:cat>
          <c:val>
            <c:numRef>
              <c:f>'SEMANA 04'!$C$79:$C$81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8-4A71-AEE0-38EDAB010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182432"/>
        <c:axId val="1317182912"/>
      </c:barChart>
      <c:catAx>
        <c:axId val="13171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912"/>
        <c:crosses val="autoZero"/>
        <c:auto val="1"/>
        <c:lblAlgn val="ctr"/>
        <c:lblOffset val="100"/>
        <c:noMultiLvlLbl val="0"/>
      </c:catAx>
      <c:valAx>
        <c:axId val="13171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04'!$B$134:$B$136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04'!$C$134:$C$136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F9F5-4362-979B-8E519ECB67E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04'!$B$134:$B$136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04'!$K$134:$K$136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5-4362-979B-8E519ECB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302528"/>
        <c:axId val="1269300128"/>
      </c:barChart>
      <c:catAx>
        <c:axId val="12693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0128"/>
        <c:crosses val="autoZero"/>
        <c:auto val="1"/>
        <c:lblAlgn val="ctr"/>
        <c:lblOffset val="100"/>
        <c:noMultiLvlLbl val="0"/>
      </c:catAx>
      <c:valAx>
        <c:axId val="12693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04'!$B$144:$B$145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04'!$C$144:$C$145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F25E-4059-8902-283C823C4F5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04'!$B$144:$B$145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04'!$K$144:$K$145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E-4059-8902-283C823C4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08112"/>
        <c:axId val="1105999952"/>
      </c:barChart>
      <c:catAx>
        <c:axId val="11060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99952"/>
        <c:crosses val="autoZero"/>
        <c:auto val="1"/>
        <c:lblAlgn val="ctr"/>
        <c:lblOffset val="100"/>
        <c:noMultiLvlLbl val="0"/>
      </c:catAx>
      <c:valAx>
        <c:axId val="110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60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600" b="1">
                <a:solidFill>
                  <a:schemeClr val="tx1"/>
                </a:solidFill>
              </a:rPr>
              <a:t>AMONESTACIONES</a:t>
            </a:r>
          </a:p>
        </c:rich>
      </c:tx>
      <c:layout>
        <c:manualLayout>
          <c:xMode val="edge"/>
          <c:yMode val="edge"/>
          <c:x val="0.3994084644629613"/>
          <c:y val="2.5191172378460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'SEMANA 04'!$B$154:$B$157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04'!$C$154:$C$157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C7B-4393-9657-1103833A898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C7B-4393-9657-1103833A89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C7B-4393-9657-1103833A898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0C7B-4393-9657-1103833A898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0C7B-4393-9657-1103833A898B}"/>
              </c:ext>
            </c:extLst>
          </c:dPt>
          <c:cat>
            <c:strRef>
              <c:f>'SEMANA 04'!$B$154:$B$157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04'!$K$154:$K$157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7B-4393-9657-1103833A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6125376"/>
        <c:axId val="1316122496"/>
        <c:axId val="0"/>
      </c:bar3DChart>
      <c:catAx>
        <c:axId val="1316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2496"/>
        <c:crosses val="autoZero"/>
        <c:auto val="1"/>
        <c:lblAlgn val="ctr"/>
        <c:lblOffset val="100"/>
        <c:noMultiLvlLbl val="0"/>
      </c:catAx>
      <c:valAx>
        <c:axId val="13161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HORAS</a:t>
            </a:r>
            <a:r>
              <a:rPr lang="es-PE" b="1" baseline="0">
                <a:solidFill>
                  <a:schemeClr val="tx1"/>
                </a:solidFill>
              </a:rPr>
              <a:t> HOMBRE TRABAJADAS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2E-41AF-9C2E-C077B5166B0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2E-41AF-9C2E-C077B5166B0C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2E-41AF-9C2E-C077B5166B0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2E-41AF-9C2E-C077B5166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05'!$B$67:$B$70</c:f>
              <c:strCache>
                <c:ptCount val="4"/>
                <c:pt idx="0">
                  <c:v>Total HH personal Obrero RUAG</c:v>
                </c:pt>
                <c:pt idx="1">
                  <c:v>Total HH personal Obrero SUBCONTRATISTA</c:v>
                </c:pt>
                <c:pt idx="2">
                  <c:v>Total HH personal STAFF RUAG</c:v>
                </c:pt>
                <c:pt idx="3">
                  <c:v>Total HH personal STAFF SUBCONTRATISTA</c:v>
                </c:pt>
              </c:strCache>
            </c:strRef>
          </c:cat>
          <c:val>
            <c:numRef>
              <c:f>'SEMANA 05'!$K$67:$K$70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2E-41AF-9C2E-C077B5166B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901552"/>
        <c:axId val="1105897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'SEMANA 05'!$B$67:$B$70</c15:sqref>
                        </c15:formulaRef>
                      </c:ext>
                    </c:extLst>
                    <c:strCache>
                      <c:ptCount val="4"/>
                      <c:pt idx="0">
                        <c:v>Total HH personal Obrero RUAG</c:v>
                      </c:pt>
                      <c:pt idx="1">
                        <c:v>Total HH personal Obrero SUBCONTRATISTA</c:v>
                      </c:pt>
                      <c:pt idx="2">
                        <c:v>Total HH personal STAFF RUAG</c:v>
                      </c:pt>
                      <c:pt idx="3">
                        <c:v>Total HH personal STAFF SUBCONTRATISTA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'SEMANA 05'!$C$67:$C$70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52E-41AF-9C2E-C077B5166B0C}"/>
                  </c:ext>
                </c:extLst>
              </c15:ser>
            </c15:filteredBarSeries>
          </c:ext>
        </c:extLst>
      </c:barChart>
      <c:catAx>
        <c:axId val="110590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897232"/>
        <c:crosses val="autoZero"/>
        <c:auto val="1"/>
        <c:lblAlgn val="ctr"/>
        <c:lblOffset val="100"/>
        <c:noMultiLvlLbl val="0"/>
      </c:catAx>
      <c:valAx>
        <c:axId val="11058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01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chemeClr val="tx1"/>
                </a:solidFill>
              </a:rPr>
              <a:t>HORAS HOMBRE TRABAJADAS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05'!$B$79:$B$81</c:f>
              <c:strCache>
                <c:ptCount val="3"/>
                <c:pt idx="0">
                  <c:v>HORARIO DIURNO</c:v>
                </c:pt>
                <c:pt idx="1">
                  <c:v>HORARIO NOCTURNO</c:v>
                </c:pt>
                <c:pt idx="2">
                  <c:v>HORARIO EXTENDIDO</c:v>
                </c:pt>
              </c:strCache>
            </c:strRef>
          </c:cat>
          <c:val>
            <c:numRef>
              <c:f>'SEMANA 05'!$C$79:$C$81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E-4EE8-8306-66E8F321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182432"/>
        <c:axId val="1317182912"/>
      </c:barChart>
      <c:catAx>
        <c:axId val="13171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912"/>
        <c:crosses val="autoZero"/>
        <c:auto val="1"/>
        <c:lblAlgn val="ctr"/>
        <c:lblOffset val="100"/>
        <c:noMultiLvlLbl val="0"/>
      </c:catAx>
      <c:valAx>
        <c:axId val="13171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71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05'!$B$134:$B$136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05'!$C$134:$C$136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503-4BA6-8C3F-A08F0D5544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05'!$B$134:$B$136</c:f>
              <c:strCache>
                <c:ptCount val="3"/>
                <c:pt idx="0">
                  <c:v>Accidente Leve</c:v>
                </c:pt>
                <c:pt idx="1">
                  <c:v>Accidente Incapacitante </c:v>
                </c:pt>
                <c:pt idx="2">
                  <c:v>Accidente Mortal </c:v>
                </c:pt>
              </c:strCache>
            </c:strRef>
          </c:cat>
          <c:val>
            <c:numRef>
              <c:f>'SEMANA 05'!$K$134:$K$136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3-4BA6-8C3F-A08F0D554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302528"/>
        <c:axId val="1269300128"/>
      </c:barChart>
      <c:catAx>
        <c:axId val="12693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0128"/>
        <c:crosses val="autoZero"/>
        <c:auto val="1"/>
        <c:lblAlgn val="ctr"/>
        <c:lblOffset val="100"/>
        <c:noMultiLvlLbl val="0"/>
      </c:catAx>
      <c:valAx>
        <c:axId val="12693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93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'SEMANA 05'!$B$144:$B$145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05'!$C$144:$C$145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2624-40B5-AAA8-F1A6BFFF6B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'SEMANA 05'!$B$144:$B$145</c:f>
              <c:strCache>
                <c:ptCount val="2"/>
                <c:pt idx="0">
                  <c:v>Incidentes </c:v>
                </c:pt>
                <c:pt idx="1">
                  <c:v>Incidente Peligroso </c:v>
                </c:pt>
              </c:strCache>
            </c:strRef>
          </c:cat>
          <c:val>
            <c:numRef>
              <c:f>'SEMANA 05'!$K$144:$K$145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4-40B5-AAA8-F1A6BFFF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08112"/>
        <c:axId val="1105999952"/>
      </c:barChart>
      <c:catAx>
        <c:axId val="11060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5999952"/>
        <c:crosses val="autoZero"/>
        <c:auto val="1"/>
        <c:lblAlgn val="ctr"/>
        <c:lblOffset val="100"/>
        <c:noMultiLvlLbl val="0"/>
      </c:catAx>
      <c:valAx>
        <c:axId val="110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600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 sz="1600" b="1">
                <a:solidFill>
                  <a:schemeClr val="tx1"/>
                </a:solidFill>
              </a:rPr>
              <a:t>AMONESTACIONES</a:t>
            </a:r>
          </a:p>
        </c:rich>
      </c:tx>
      <c:layout>
        <c:manualLayout>
          <c:xMode val="edge"/>
          <c:yMode val="edge"/>
          <c:x val="0.3994084644629613"/>
          <c:y val="2.5191172378460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'SEMANA 05'!$B$154:$B$157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05'!$C$154:$C$157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0C5-47D1-B0AC-D2F2A83FE6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0C5-47D1-B0AC-D2F2A83FE6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0C5-47D1-B0AC-D2F2A83FE66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B0C5-47D1-B0AC-D2F2A83FE66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B0C5-47D1-B0AC-D2F2A83FE664}"/>
              </c:ext>
            </c:extLst>
          </c:dPt>
          <c:cat>
            <c:strRef>
              <c:f>'SEMANA 05'!$B$154:$B$157</c:f>
              <c:strCache>
                <c:ptCount val="4"/>
                <c:pt idx="0">
                  <c:v>Actos Inseguros RUAG</c:v>
                </c:pt>
                <c:pt idx="1">
                  <c:v>Actos Inseguros Subcontratista</c:v>
                </c:pt>
                <c:pt idx="2">
                  <c:v>Condiciones Inseguras RUAG</c:v>
                </c:pt>
                <c:pt idx="3">
                  <c:v>Condiciones Inseguras Subcontratista</c:v>
                </c:pt>
              </c:strCache>
            </c:strRef>
          </c:cat>
          <c:val>
            <c:numRef>
              <c:f>'SEMANA 05'!$K$154:$K$157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C5-47D1-B0AC-D2F2A83FE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6125376"/>
        <c:axId val="1316122496"/>
        <c:axId val="0"/>
      </c:bar3DChart>
      <c:catAx>
        <c:axId val="1316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2496"/>
        <c:crosses val="autoZero"/>
        <c:auto val="1"/>
        <c:lblAlgn val="ctr"/>
        <c:lblOffset val="100"/>
        <c:noMultiLvlLbl val="0"/>
      </c:catAx>
      <c:valAx>
        <c:axId val="13161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16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0.xml"/><Relationship Id="rId2" Type="http://schemas.openxmlformats.org/officeDocument/2006/relationships/chart" Target="../charts/chart6.xml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0.xml"/><Relationship Id="rId2" Type="http://schemas.openxmlformats.org/officeDocument/2006/relationships/chart" Target="../charts/chart16.xml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5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179730</xdr:colOff>
      <xdr:row>0</xdr:row>
      <xdr:rowOff>119343</xdr:rowOff>
    </xdr:from>
    <xdr:to>
      <xdr:col>1</xdr:col>
      <xdr:colOff>1173693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0" y="119343"/>
          <a:ext cx="1296832" cy="4331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128950</xdr:colOff>
      <xdr:row>72</xdr:row>
      <xdr:rowOff>214045</xdr:rowOff>
    </xdr:from>
    <xdr:to>
      <xdr:col>9</xdr:col>
      <xdr:colOff>17649</xdr:colOff>
      <xdr:row>76</xdr:row>
      <xdr:rowOff>192639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9FA71E-877D-39AB-96D2-7663A4DA9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825657</xdr:colOff>
      <xdr:row>76</xdr:row>
      <xdr:rowOff>397757</xdr:rowOff>
    </xdr:from>
    <xdr:to>
      <xdr:col>9</xdr:col>
      <xdr:colOff>979561</xdr:colOff>
      <xdr:row>81</xdr:row>
      <xdr:rowOff>411667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F32A3F3-7637-E0C5-8493-2123A89BB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1565412</xdr:colOff>
      <xdr:row>146</xdr:row>
      <xdr:rowOff>526498</xdr:rowOff>
    </xdr:from>
    <xdr:to>
      <xdr:col>8</xdr:col>
      <xdr:colOff>551448</xdr:colOff>
      <xdr:row>148</xdr:row>
      <xdr:rowOff>919080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15F4CFD-A6DE-DF42-BC39-AADB975F5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1590841</xdr:colOff>
      <xdr:row>148</xdr:row>
      <xdr:rowOff>1168400</xdr:rowOff>
    </xdr:from>
    <xdr:to>
      <xdr:col>8</xdr:col>
      <xdr:colOff>618290</xdr:colOff>
      <xdr:row>150</xdr:row>
      <xdr:rowOff>852235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82A3B4C-BA2D-C98B-E03A-49796A069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105647</xdr:colOff>
      <xdr:row>149</xdr:row>
      <xdr:rowOff>1008209</xdr:rowOff>
    </xdr:from>
    <xdr:to>
      <xdr:col>2</xdr:col>
      <xdr:colOff>1054808</xdr:colOff>
      <xdr:row>150</xdr:row>
      <xdr:rowOff>1047649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F5C7518-323C-096C-1EFD-C7A2A141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0447" y="41508509"/>
          <a:ext cx="2358861" cy="1982539"/>
        </a:xfrm>
        <a:prstGeom prst="rect">
          <a:avLst/>
        </a:prstGeom>
      </xdr:spPr>
    </xdr:pic>
    <xdr:clientData/>
  </xdr:twoCellAnchor>
  <xdr:twoCellAnchor>
    <xdr:from>
      <xdr:col>2</xdr:col>
      <xdr:colOff>1101621</xdr:colOff>
      <xdr:row>159</xdr:row>
      <xdr:rowOff>395148</xdr:rowOff>
    </xdr:from>
    <xdr:to>
      <xdr:col>8</xdr:col>
      <xdr:colOff>800100</xdr:colOff>
      <xdr:row>165</xdr:row>
      <xdr:rowOff>457062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62CC9A1-19D9-85CB-17D1-66FD4142B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179730</xdr:colOff>
      <xdr:row>0</xdr:row>
      <xdr:rowOff>119343</xdr:rowOff>
    </xdr:from>
    <xdr:to>
      <xdr:col>1</xdr:col>
      <xdr:colOff>1173693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EB3894-E497-42B8-A9BC-71403B5399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0" y="119343"/>
          <a:ext cx="1289238" cy="4426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128950</xdr:colOff>
      <xdr:row>72</xdr:row>
      <xdr:rowOff>214045</xdr:rowOff>
    </xdr:from>
    <xdr:to>
      <xdr:col>9</xdr:col>
      <xdr:colOff>17649</xdr:colOff>
      <xdr:row>76</xdr:row>
      <xdr:rowOff>192639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7F832-6DF8-468C-8A85-0FD34CAC5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825657</xdr:colOff>
      <xdr:row>76</xdr:row>
      <xdr:rowOff>397757</xdr:rowOff>
    </xdr:from>
    <xdr:to>
      <xdr:col>9</xdr:col>
      <xdr:colOff>979561</xdr:colOff>
      <xdr:row>81</xdr:row>
      <xdr:rowOff>411667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B13A38-95CE-47BF-AEB1-B63B0096D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1565412</xdr:colOff>
      <xdr:row>146</xdr:row>
      <xdr:rowOff>526498</xdr:rowOff>
    </xdr:from>
    <xdr:to>
      <xdr:col>8</xdr:col>
      <xdr:colOff>551448</xdr:colOff>
      <xdr:row>148</xdr:row>
      <xdr:rowOff>919080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9C8BCA-C5D0-422E-842A-962422215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1590841</xdr:colOff>
      <xdr:row>148</xdr:row>
      <xdr:rowOff>1168400</xdr:rowOff>
    </xdr:from>
    <xdr:to>
      <xdr:col>8</xdr:col>
      <xdr:colOff>618290</xdr:colOff>
      <xdr:row>150</xdr:row>
      <xdr:rowOff>852235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5AF69A9-9DC0-422F-9803-C0AC3B0C2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105647</xdr:colOff>
      <xdr:row>149</xdr:row>
      <xdr:rowOff>1008209</xdr:rowOff>
    </xdr:from>
    <xdr:to>
      <xdr:col>2</xdr:col>
      <xdr:colOff>1054808</xdr:colOff>
      <xdr:row>150</xdr:row>
      <xdr:rowOff>1047648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74031E2-6979-4E7D-8EB2-8563CBE66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922" y="42899159"/>
          <a:ext cx="2358861" cy="1973014"/>
        </a:xfrm>
        <a:prstGeom prst="rect">
          <a:avLst/>
        </a:prstGeom>
      </xdr:spPr>
    </xdr:pic>
    <xdr:clientData/>
  </xdr:twoCellAnchor>
  <xdr:twoCellAnchor>
    <xdr:from>
      <xdr:col>2</xdr:col>
      <xdr:colOff>1101621</xdr:colOff>
      <xdr:row>159</xdr:row>
      <xdr:rowOff>395148</xdr:rowOff>
    </xdr:from>
    <xdr:to>
      <xdr:col>8</xdr:col>
      <xdr:colOff>800100</xdr:colOff>
      <xdr:row>165</xdr:row>
      <xdr:rowOff>457062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81F58F-3E89-4430-BF64-09D82E0D1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179730</xdr:colOff>
      <xdr:row>0</xdr:row>
      <xdr:rowOff>119343</xdr:rowOff>
    </xdr:from>
    <xdr:to>
      <xdr:col>1</xdr:col>
      <xdr:colOff>1173693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53D559-34E9-4C25-A360-DEAFA046F7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0" y="119343"/>
          <a:ext cx="1289238" cy="4426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128950</xdr:colOff>
      <xdr:row>72</xdr:row>
      <xdr:rowOff>214045</xdr:rowOff>
    </xdr:from>
    <xdr:to>
      <xdr:col>9</xdr:col>
      <xdr:colOff>17649</xdr:colOff>
      <xdr:row>76</xdr:row>
      <xdr:rowOff>192639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F08A98-B2BE-456B-86AC-DC62EED88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825657</xdr:colOff>
      <xdr:row>76</xdr:row>
      <xdr:rowOff>397757</xdr:rowOff>
    </xdr:from>
    <xdr:to>
      <xdr:col>9</xdr:col>
      <xdr:colOff>979561</xdr:colOff>
      <xdr:row>81</xdr:row>
      <xdr:rowOff>411667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825603-8DCE-4053-894F-05691FB31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1565412</xdr:colOff>
      <xdr:row>146</xdr:row>
      <xdr:rowOff>526498</xdr:rowOff>
    </xdr:from>
    <xdr:to>
      <xdr:col>8</xdr:col>
      <xdr:colOff>551448</xdr:colOff>
      <xdr:row>148</xdr:row>
      <xdr:rowOff>919080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564D2F-20D1-4C34-9BFC-57663E496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1590841</xdr:colOff>
      <xdr:row>148</xdr:row>
      <xdr:rowOff>1168400</xdr:rowOff>
    </xdr:from>
    <xdr:to>
      <xdr:col>8</xdr:col>
      <xdr:colOff>618290</xdr:colOff>
      <xdr:row>150</xdr:row>
      <xdr:rowOff>852235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97FEBEE-366E-4D6F-B16C-361252DFA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105647</xdr:colOff>
      <xdr:row>149</xdr:row>
      <xdr:rowOff>1008209</xdr:rowOff>
    </xdr:from>
    <xdr:to>
      <xdr:col>2</xdr:col>
      <xdr:colOff>1054808</xdr:colOff>
      <xdr:row>150</xdr:row>
      <xdr:rowOff>1047649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D029935-84A3-45BB-AE5E-6ED25707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922" y="42927734"/>
          <a:ext cx="2358861" cy="1973014"/>
        </a:xfrm>
        <a:prstGeom prst="rect">
          <a:avLst/>
        </a:prstGeom>
      </xdr:spPr>
    </xdr:pic>
    <xdr:clientData/>
  </xdr:twoCellAnchor>
  <xdr:twoCellAnchor>
    <xdr:from>
      <xdr:col>2</xdr:col>
      <xdr:colOff>1101621</xdr:colOff>
      <xdr:row>159</xdr:row>
      <xdr:rowOff>395148</xdr:rowOff>
    </xdr:from>
    <xdr:to>
      <xdr:col>8</xdr:col>
      <xdr:colOff>800100</xdr:colOff>
      <xdr:row>165</xdr:row>
      <xdr:rowOff>457062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02C00B-C98D-4CBE-844C-DA9FFA390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179730</xdr:colOff>
      <xdr:row>0</xdr:row>
      <xdr:rowOff>119343</xdr:rowOff>
    </xdr:from>
    <xdr:to>
      <xdr:col>1</xdr:col>
      <xdr:colOff>1173693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CA4A37-0253-47F4-8EC1-89BEEF7C03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0" y="119343"/>
          <a:ext cx="1289238" cy="4426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128950</xdr:colOff>
      <xdr:row>72</xdr:row>
      <xdr:rowOff>214045</xdr:rowOff>
    </xdr:from>
    <xdr:to>
      <xdr:col>9</xdr:col>
      <xdr:colOff>17649</xdr:colOff>
      <xdr:row>76</xdr:row>
      <xdr:rowOff>192639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7A8009-2F56-4F15-A13D-7A91BBF6E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825657</xdr:colOff>
      <xdr:row>76</xdr:row>
      <xdr:rowOff>397757</xdr:rowOff>
    </xdr:from>
    <xdr:to>
      <xdr:col>9</xdr:col>
      <xdr:colOff>979561</xdr:colOff>
      <xdr:row>81</xdr:row>
      <xdr:rowOff>411667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43B4D1-7FB0-4F85-B317-234B58058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1565412</xdr:colOff>
      <xdr:row>146</xdr:row>
      <xdr:rowOff>526498</xdr:rowOff>
    </xdr:from>
    <xdr:to>
      <xdr:col>8</xdr:col>
      <xdr:colOff>551448</xdr:colOff>
      <xdr:row>148</xdr:row>
      <xdr:rowOff>919080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37455C-9BAA-4F56-B045-3E0E30752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1590841</xdr:colOff>
      <xdr:row>148</xdr:row>
      <xdr:rowOff>1168400</xdr:rowOff>
    </xdr:from>
    <xdr:to>
      <xdr:col>8</xdr:col>
      <xdr:colOff>618290</xdr:colOff>
      <xdr:row>150</xdr:row>
      <xdr:rowOff>852235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6C0EFA-7FB6-4F11-AD47-69016F870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105647</xdr:colOff>
      <xdr:row>149</xdr:row>
      <xdr:rowOff>1008209</xdr:rowOff>
    </xdr:from>
    <xdr:to>
      <xdr:col>2</xdr:col>
      <xdr:colOff>1054808</xdr:colOff>
      <xdr:row>150</xdr:row>
      <xdr:rowOff>1047648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2E608B-F433-43B8-9958-59E8F61C9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922" y="42927734"/>
          <a:ext cx="2358861" cy="1973014"/>
        </a:xfrm>
        <a:prstGeom prst="rect">
          <a:avLst/>
        </a:prstGeom>
      </xdr:spPr>
    </xdr:pic>
    <xdr:clientData/>
  </xdr:twoCellAnchor>
  <xdr:twoCellAnchor>
    <xdr:from>
      <xdr:col>2</xdr:col>
      <xdr:colOff>1101621</xdr:colOff>
      <xdr:row>159</xdr:row>
      <xdr:rowOff>395148</xdr:rowOff>
    </xdr:from>
    <xdr:to>
      <xdr:col>8</xdr:col>
      <xdr:colOff>800100</xdr:colOff>
      <xdr:row>165</xdr:row>
      <xdr:rowOff>457062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A3FB951-7DC9-4CE8-A105-F910B5109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179730</xdr:colOff>
      <xdr:row>0</xdr:row>
      <xdr:rowOff>119343</xdr:rowOff>
    </xdr:from>
    <xdr:to>
      <xdr:col>1</xdr:col>
      <xdr:colOff>1173693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7F84BD-52B4-4CEB-A3AC-7AFF73B692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0" y="119343"/>
          <a:ext cx="1289238" cy="4426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128950</xdr:colOff>
      <xdr:row>72</xdr:row>
      <xdr:rowOff>214045</xdr:rowOff>
    </xdr:from>
    <xdr:to>
      <xdr:col>9</xdr:col>
      <xdr:colOff>17649</xdr:colOff>
      <xdr:row>76</xdr:row>
      <xdr:rowOff>192639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70333B-7CB9-464E-AA6D-773A2AE2E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825657</xdr:colOff>
      <xdr:row>76</xdr:row>
      <xdr:rowOff>397757</xdr:rowOff>
    </xdr:from>
    <xdr:to>
      <xdr:col>9</xdr:col>
      <xdr:colOff>979561</xdr:colOff>
      <xdr:row>81</xdr:row>
      <xdr:rowOff>411667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E10D9-BC6B-4C5B-824D-3A5C9F35E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1565412</xdr:colOff>
      <xdr:row>146</xdr:row>
      <xdr:rowOff>526498</xdr:rowOff>
    </xdr:from>
    <xdr:to>
      <xdr:col>8</xdr:col>
      <xdr:colOff>551448</xdr:colOff>
      <xdr:row>148</xdr:row>
      <xdr:rowOff>919080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762652-0D4D-413E-B0B2-2DC6B0BC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1590841</xdr:colOff>
      <xdr:row>148</xdr:row>
      <xdr:rowOff>1168400</xdr:rowOff>
    </xdr:from>
    <xdr:to>
      <xdr:col>8</xdr:col>
      <xdr:colOff>618290</xdr:colOff>
      <xdr:row>150</xdr:row>
      <xdr:rowOff>852235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1F1CDB-FF0B-42FA-8BA1-DF78F0048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105647</xdr:colOff>
      <xdr:row>149</xdr:row>
      <xdr:rowOff>1008209</xdr:rowOff>
    </xdr:from>
    <xdr:to>
      <xdr:col>2</xdr:col>
      <xdr:colOff>1054808</xdr:colOff>
      <xdr:row>150</xdr:row>
      <xdr:rowOff>1047648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A50F9C-7991-40A0-88A2-DA045447B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922" y="42927734"/>
          <a:ext cx="2358861" cy="1973014"/>
        </a:xfrm>
        <a:prstGeom prst="rect">
          <a:avLst/>
        </a:prstGeom>
      </xdr:spPr>
    </xdr:pic>
    <xdr:clientData/>
  </xdr:twoCellAnchor>
  <xdr:twoCellAnchor>
    <xdr:from>
      <xdr:col>2</xdr:col>
      <xdr:colOff>1101621</xdr:colOff>
      <xdr:row>159</xdr:row>
      <xdr:rowOff>395148</xdr:rowOff>
    </xdr:from>
    <xdr:to>
      <xdr:col>8</xdr:col>
      <xdr:colOff>800100</xdr:colOff>
      <xdr:row>165</xdr:row>
      <xdr:rowOff>457062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136106-F43D-41B4-AEAD-848E4C942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152497</xdr:colOff>
      <xdr:row>0</xdr:row>
      <xdr:rowOff>116205</xdr:rowOff>
    </xdr:from>
    <xdr:to>
      <xdr:col>1</xdr:col>
      <xdr:colOff>1282211</xdr:colOff>
      <xdr:row>3</xdr:row>
      <xdr:rowOff>150405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97" y="116205"/>
          <a:ext cx="1361733" cy="730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</xdr:col>
      <xdr:colOff>3659394</xdr:colOff>
      <xdr:row>12</xdr:row>
      <xdr:rowOff>146227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85" t="8438" r="2113" b="18433"/>
        <a:stretch/>
      </xdr:blipFill>
      <xdr:spPr>
        <a:xfrm>
          <a:off x="1524000" y="2428875"/>
          <a:ext cx="5440569" cy="1441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CN254"/>
  <sheetViews>
    <sheetView showGridLines="0" tabSelected="1" view="pageBreakPreview" topLeftCell="A99" zoomScale="68" zoomScaleNormal="70" zoomScaleSheetLayoutView="68" workbookViewId="0">
      <selection activeCell="D108" sqref="D108:F108"/>
    </sheetView>
  </sheetViews>
  <sheetFormatPr baseColWidth="10" defaultColWidth="9.140625" defaultRowHeight="12.75" x14ac:dyDescent="0.2"/>
  <cols>
    <col min="1" max="1" width="4.42578125" customWidth="1"/>
    <col min="2" max="2" width="21.140625" customWidth="1"/>
    <col min="3" max="3" width="25.7109375" customWidth="1"/>
    <col min="4" max="10" width="14.7109375" customWidth="1"/>
    <col min="11" max="11" width="15.7109375" customWidth="1"/>
    <col min="16" max="16" width="17.7109375" style="25" bestFit="1" customWidth="1"/>
  </cols>
  <sheetData>
    <row r="1" spans="1:92" x14ac:dyDescent="0.2">
      <c r="A1" s="170"/>
      <c r="B1" s="170"/>
      <c r="C1" s="219" t="s">
        <v>0</v>
      </c>
      <c r="D1" s="219"/>
      <c r="E1" s="219"/>
      <c r="F1" s="219"/>
      <c r="G1" s="219"/>
      <c r="H1" s="219"/>
      <c r="I1" s="219"/>
      <c r="J1" s="16" t="s">
        <v>1</v>
      </c>
      <c r="K1" s="17" t="s">
        <v>2</v>
      </c>
    </row>
    <row r="2" spans="1:92" x14ac:dyDescent="0.2">
      <c r="A2" s="170"/>
      <c r="B2" s="170"/>
      <c r="C2" s="219"/>
      <c r="D2" s="219"/>
      <c r="E2" s="219"/>
      <c r="F2" s="219"/>
      <c r="G2" s="219"/>
      <c r="H2" s="219"/>
      <c r="I2" s="219"/>
      <c r="J2" s="16" t="s">
        <v>3</v>
      </c>
      <c r="K2" s="18" t="s">
        <v>168</v>
      </c>
      <c r="N2" s="25"/>
      <c r="P2"/>
      <c r="Q2" s="25"/>
      <c r="T2" s="25"/>
      <c r="W2" s="25"/>
      <c r="Z2" s="25"/>
      <c r="AC2" s="25"/>
      <c r="AF2" s="25"/>
      <c r="AI2" s="25"/>
      <c r="AL2" s="25"/>
      <c r="AO2" s="25"/>
      <c r="AR2" s="25"/>
      <c r="AU2" s="25"/>
      <c r="AX2" s="25"/>
      <c r="BA2" s="25"/>
      <c r="BD2" s="25"/>
      <c r="BG2" s="25"/>
      <c r="BJ2" s="25"/>
      <c r="BM2" s="25"/>
      <c r="BP2" s="25"/>
      <c r="BS2" s="25"/>
      <c r="BV2" s="25"/>
      <c r="BY2" s="25"/>
      <c r="CB2" s="25"/>
      <c r="CE2" s="25"/>
      <c r="CH2" s="25"/>
      <c r="CK2" s="25"/>
      <c r="CN2" s="25"/>
    </row>
    <row r="3" spans="1:92" x14ac:dyDescent="0.2">
      <c r="A3" s="170"/>
      <c r="B3" s="170"/>
      <c r="C3" s="219"/>
      <c r="D3" s="219"/>
      <c r="E3" s="219"/>
      <c r="F3" s="219"/>
      <c r="G3" s="219"/>
      <c r="H3" s="219"/>
      <c r="I3" s="219"/>
      <c r="J3" s="16" t="s">
        <v>4</v>
      </c>
      <c r="K3" s="19">
        <v>46119</v>
      </c>
      <c r="N3" s="25"/>
      <c r="P3"/>
      <c r="Q3" s="25"/>
      <c r="T3" s="25"/>
      <c r="W3" s="25"/>
      <c r="Z3" s="25"/>
      <c r="AC3" s="25"/>
      <c r="AF3" s="25"/>
      <c r="AI3" s="25"/>
      <c r="AL3" s="25"/>
      <c r="AO3" s="25"/>
      <c r="AR3" s="25"/>
      <c r="AU3" s="25"/>
      <c r="AX3" s="25"/>
      <c r="BA3" s="25"/>
      <c r="BD3" s="25"/>
      <c r="BG3" s="25"/>
      <c r="BJ3" s="25"/>
      <c r="BM3" s="25"/>
      <c r="BP3" s="25"/>
      <c r="BS3" s="25"/>
      <c r="BV3" s="25"/>
      <c r="BY3" s="25"/>
      <c r="CB3" s="25"/>
      <c r="CE3" s="25"/>
      <c r="CH3" s="25"/>
      <c r="CK3" s="25"/>
      <c r="CN3" s="25"/>
    </row>
    <row r="4" spans="1:92" x14ac:dyDescent="0.2">
      <c r="A4" s="170"/>
      <c r="B4" s="170"/>
      <c r="C4" s="219"/>
      <c r="D4" s="219"/>
      <c r="E4" s="219"/>
      <c r="F4" s="219"/>
      <c r="G4" s="219"/>
      <c r="H4" s="219"/>
      <c r="I4" s="219"/>
      <c r="J4" s="16" t="s">
        <v>5</v>
      </c>
      <c r="K4" s="18" t="s">
        <v>6</v>
      </c>
      <c r="N4" s="25"/>
      <c r="P4"/>
      <c r="Q4" s="25"/>
      <c r="T4" s="25"/>
      <c r="W4" s="25"/>
      <c r="Z4" s="25"/>
      <c r="AC4" s="25"/>
      <c r="AF4" s="25"/>
      <c r="AI4" s="25"/>
      <c r="AL4" s="25"/>
      <c r="AO4" s="25"/>
      <c r="AR4" s="25"/>
      <c r="AU4" s="25"/>
      <c r="AX4" s="25"/>
      <c r="BA4" s="25"/>
      <c r="BD4" s="25"/>
      <c r="BG4" s="25"/>
      <c r="BJ4" s="25"/>
      <c r="BM4" s="25"/>
      <c r="BP4" s="25"/>
      <c r="BS4" s="25"/>
      <c r="BV4" s="25"/>
      <c r="BY4" s="25"/>
      <c r="CB4" s="25"/>
      <c r="CE4" s="25"/>
      <c r="CH4" s="25"/>
      <c r="CK4" s="25"/>
      <c r="CN4" s="25"/>
    </row>
    <row r="5" spans="1:92" s="4" customFormat="1" ht="7.1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5"/>
      <c r="M5"/>
      <c r="N5" s="25"/>
      <c r="O5"/>
      <c r="P5"/>
      <c r="Q5" s="25"/>
      <c r="R5"/>
      <c r="S5"/>
      <c r="T5" s="25"/>
      <c r="U5"/>
      <c r="V5"/>
      <c r="W5" s="25"/>
      <c r="X5"/>
      <c r="Y5"/>
      <c r="Z5" s="25"/>
      <c r="AA5"/>
      <c r="AB5"/>
      <c r="AC5" s="25"/>
      <c r="AD5"/>
      <c r="AE5"/>
      <c r="AF5" s="25"/>
      <c r="AG5"/>
      <c r="AH5"/>
      <c r="AI5" s="25"/>
      <c r="AJ5"/>
      <c r="AK5"/>
      <c r="AL5" s="25"/>
      <c r="AM5"/>
      <c r="AN5"/>
      <c r="AO5" s="25"/>
      <c r="AP5"/>
      <c r="AQ5"/>
      <c r="AR5" s="25"/>
      <c r="AS5"/>
      <c r="AT5"/>
      <c r="AU5" s="25"/>
      <c r="AV5"/>
      <c r="AW5"/>
      <c r="AX5" s="25"/>
      <c r="AY5"/>
      <c r="AZ5"/>
      <c r="BA5" s="25"/>
      <c r="BB5"/>
      <c r="BC5"/>
      <c r="BD5" s="25"/>
      <c r="BE5"/>
      <c r="BF5"/>
      <c r="BG5" s="25"/>
      <c r="BH5"/>
      <c r="BI5"/>
      <c r="BJ5" s="25"/>
      <c r="BK5"/>
      <c r="BL5"/>
      <c r="BM5" s="25"/>
      <c r="BN5"/>
      <c r="BO5"/>
      <c r="BP5" s="25"/>
      <c r="BQ5"/>
      <c r="BR5"/>
      <c r="BS5" s="25"/>
      <c r="BT5"/>
      <c r="BU5"/>
      <c r="BV5" s="25"/>
      <c r="BW5"/>
      <c r="BX5"/>
      <c r="BY5" s="25"/>
      <c r="BZ5"/>
      <c r="CA5"/>
      <c r="CB5" s="25"/>
      <c r="CC5"/>
      <c r="CD5"/>
      <c r="CE5" s="25"/>
      <c r="CF5"/>
      <c r="CG5"/>
      <c r="CH5" s="25"/>
      <c r="CI5"/>
      <c r="CJ5"/>
      <c r="CK5" s="25"/>
      <c r="CL5"/>
      <c r="CM5"/>
      <c r="CN5" s="25"/>
    </row>
    <row r="6" spans="1:92" ht="15.95" customHeight="1" x14ac:dyDescent="0.2">
      <c r="A6" s="119" t="s">
        <v>7</v>
      </c>
      <c r="B6" s="119"/>
      <c r="C6" s="131"/>
      <c r="D6" s="131"/>
      <c r="E6" s="131"/>
      <c r="F6" s="131"/>
      <c r="G6" s="131"/>
      <c r="H6" s="131"/>
      <c r="I6" s="131"/>
      <c r="J6" s="131"/>
      <c r="K6" s="13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15.95" customHeight="1" x14ac:dyDescent="0.2">
      <c r="A7" s="119" t="s">
        <v>8</v>
      </c>
      <c r="B7" s="119"/>
      <c r="C7" s="213"/>
      <c r="D7" s="214"/>
      <c r="E7" s="214"/>
      <c r="F7" s="214"/>
      <c r="G7" s="214"/>
      <c r="H7" s="214"/>
      <c r="I7" s="214"/>
      <c r="J7" s="214"/>
      <c r="K7" s="21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15.95" customHeight="1" x14ac:dyDescent="0.2">
      <c r="A8" s="119" t="s">
        <v>9</v>
      </c>
      <c r="B8" s="119"/>
      <c r="C8" s="205"/>
      <c r="D8" s="206"/>
      <c r="E8" s="206"/>
      <c r="F8" s="207"/>
      <c r="G8" s="208" t="s">
        <v>10</v>
      </c>
      <c r="H8" s="209"/>
      <c r="I8" s="210" t="s">
        <v>163</v>
      </c>
      <c r="J8" s="211"/>
      <c r="K8" s="212"/>
      <c r="N8" s="25"/>
      <c r="P8"/>
      <c r="Q8" s="25"/>
      <c r="T8" s="25"/>
      <c r="W8" s="25"/>
      <c r="Z8" s="25"/>
      <c r="AC8" s="25"/>
      <c r="AF8" s="25"/>
      <c r="AI8" s="25"/>
      <c r="AL8" s="25"/>
      <c r="AO8" s="25"/>
      <c r="AR8" s="25"/>
      <c r="AU8" s="25"/>
      <c r="AX8" s="25"/>
      <c r="BA8" s="25"/>
      <c r="BD8" s="25"/>
      <c r="BG8" s="25"/>
      <c r="BJ8" s="25"/>
      <c r="BM8" s="25"/>
      <c r="BP8" s="25"/>
      <c r="BS8" s="25"/>
      <c r="BV8" s="25"/>
      <c r="BY8" s="25"/>
      <c r="CB8" s="25"/>
      <c r="CE8" s="25"/>
      <c r="CH8" s="25"/>
      <c r="CK8" s="25"/>
      <c r="CN8" s="25"/>
    </row>
    <row r="9" spans="1:92" ht="15.95" customHeight="1" x14ac:dyDescent="0.2">
      <c r="A9" s="119" t="s">
        <v>11</v>
      </c>
      <c r="B9" s="119"/>
      <c r="C9" s="213"/>
      <c r="D9" s="214"/>
      <c r="E9" s="214"/>
      <c r="F9" s="215"/>
      <c r="G9" s="208" t="s">
        <v>12</v>
      </c>
      <c r="H9" s="209"/>
      <c r="I9" s="216"/>
      <c r="J9" s="217"/>
      <c r="K9" s="218"/>
      <c r="N9" s="25"/>
      <c r="P9"/>
      <c r="Q9" s="25"/>
      <c r="T9" s="25"/>
      <c r="W9" s="25"/>
      <c r="Z9" s="25"/>
      <c r="AC9" s="25"/>
      <c r="AF9" s="25"/>
      <c r="AI9" s="25"/>
      <c r="AL9" s="25"/>
      <c r="AO9" s="25"/>
      <c r="AR9" s="25"/>
      <c r="AU9" s="25"/>
      <c r="AX9" s="25"/>
      <c r="BA9" s="25"/>
      <c r="BD9" s="25"/>
      <c r="BG9" s="25"/>
      <c r="BJ9" s="25"/>
      <c r="BM9" s="25"/>
      <c r="BP9" s="25"/>
      <c r="BS9" s="25"/>
      <c r="BV9" s="25"/>
      <c r="BY9" s="25"/>
      <c r="CB9" s="25"/>
      <c r="CE9" s="25"/>
      <c r="CH9" s="25"/>
      <c r="CK9" s="25"/>
      <c r="CN9" s="25"/>
    </row>
    <row r="10" spans="1:92" s="4" customFormat="1" ht="7.15" customHeight="1" x14ac:dyDescent="0.2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5"/>
      <c r="M10"/>
      <c r="N10" s="25"/>
      <c r="O10"/>
      <c r="P10"/>
      <c r="Q10" s="25"/>
      <c r="R10"/>
      <c r="S10"/>
      <c r="T10" s="25"/>
      <c r="U10"/>
      <c r="V10"/>
      <c r="W10" s="25"/>
      <c r="X10"/>
      <c r="Y10"/>
      <c r="Z10" s="25"/>
      <c r="AA10"/>
      <c r="AB10"/>
      <c r="AC10" s="25"/>
      <c r="AD10"/>
      <c r="AE10"/>
      <c r="AF10" s="25"/>
      <c r="AG10"/>
      <c r="AH10"/>
      <c r="AI10" s="25"/>
      <c r="AJ10"/>
      <c r="AK10"/>
      <c r="AL10" s="25"/>
      <c r="AM10"/>
      <c r="AN10"/>
      <c r="AO10" s="25"/>
      <c r="AP10"/>
      <c r="AQ10"/>
      <c r="AR10" s="25"/>
      <c r="AS10"/>
      <c r="AT10"/>
      <c r="AU10" s="25"/>
      <c r="AV10"/>
      <c r="AW10"/>
      <c r="AX10" s="25"/>
      <c r="AY10"/>
      <c r="AZ10"/>
      <c r="BA10" s="25"/>
      <c r="BB10"/>
      <c r="BC10"/>
      <c r="BD10" s="25"/>
      <c r="BE10"/>
      <c r="BF10"/>
      <c r="BG10" s="25"/>
      <c r="BH10"/>
      <c r="BI10"/>
      <c r="BJ10" s="25"/>
      <c r="BK10"/>
      <c r="BL10"/>
      <c r="BM10" s="25"/>
      <c r="BN10"/>
      <c r="BO10"/>
      <c r="BP10" s="25"/>
      <c r="BQ10"/>
      <c r="BR10"/>
      <c r="BS10" s="25"/>
      <c r="BT10"/>
      <c r="BU10"/>
      <c r="BV10" s="25"/>
      <c r="BW10"/>
      <c r="BX10"/>
      <c r="BY10" s="25"/>
      <c r="BZ10"/>
      <c r="CA10"/>
      <c r="CB10" s="25"/>
      <c r="CC10"/>
      <c r="CD10"/>
      <c r="CE10" s="25"/>
      <c r="CF10"/>
      <c r="CG10"/>
      <c r="CH10" s="25"/>
      <c r="CI10"/>
      <c r="CJ10"/>
      <c r="CK10" s="25"/>
      <c r="CL10"/>
      <c r="CM10"/>
      <c r="CN10" s="25"/>
    </row>
    <row r="11" spans="1:92" s="5" customFormat="1" ht="27" customHeight="1" x14ac:dyDescent="0.2">
      <c r="A11" s="221" t="s">
        <v>169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3"/>
      <c r="M11"/>
      <c r="N11" s="25"/>
      <c r="O11"/>
      <c r="P11"/>
      <c r="Q11" s="25"/>
      <c r="R11"/>
      <c r="S11"/>
      <c r="T11" s="25"/>
      <c r="U11"/>
      <c r="V11"/>
      <c r="W11" s="25"/>
      <c r="X11"/>
      <c r="Y11"/>
      <c r="Z11" s="25"/>
      <c r="AA11"/>
      <c r="AB11"/>
      <c r="AC11" s="25"/>
      <c r="AD11"/>
      <c r="AE11"/>
      <c r="AF11" s="25"/>
      <c r="AG11"/>
      <c r="AH11"/>
      <c r="AI11" s="25"/>
      <c r="AJ11"/>
      <c r="AK11"/>
      <c r="AL11" s="25"/>
      <c r="AM11"/>
      <c r="AN11"/>
      <c r="AO11" s="25"/>
      <c r="AP11"/>
      <c r="AQ11"/>
      <c r="AR11" s="25"/>
      <c r="AS11"/>
      <c r="AT11"/>
      <c r="AU11" s="25"/>
      <c r="AV11"/>
      <c r="AW11"/>
      <c r="AX11" s="25"/>
      <c r="AY11"/>
      <c r="AZ11"/>
      <c r="BA11" s="25"/>
      <c r="BB11"/>
      <c r="BC11"/>
      <c r="BD11" s="25"/>
      <c r="BE11"/>
      <c r="BF11"/>
      <c r="BG11" s="25"/>
      <c r="BH11"/>
      <c r="BI11"/>
      <c r="BJ11" s="25"/>
      <c r="BK11"/>
      <c r="BL11"/>
      <c r="BM11" s="25"/>
      <c r="BN11"/>
      <c r="BO11"/>
      <c r="BP11" s="25"/>
      <c r="BQ11"/>
      <c r="BR11"/>
      <c r="BS11" s="25"/>
      <c r="BT11"/>
      <c r="BU11"/>
      <c r="BV11" s="25"/>
      <c r="BW11"/>
      <c r="BX11"/>
      <c r="BY11" s="25"/>
      <c r="BZ11"/>
      <c r="CA11"/>
      <c r="CB11" s="25"/>
      <c r="CC11"/>
      <c r="CD11"/>
      <c r="CE11" s="25"/>
      <c r="CF11"/>
      <c r="CG11"/>
      <c r="CH11" s="25"/>
      <c r="CI11"/>
      <c r="CJ11"/>
      <c r="CK11" s="25"/>
      <c r="CL11"/>
      <c r="CM11"/>
      <c r="CN11" s="25"/>
    </row>
    <row r="12" spans="1:92" s="5" customFormat="1" ht="6.75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0" customFormat="1" ht="15" customHeight="1" x14ac:dyDescent="0.2">
      <c r="A13" s="185" t="s">
        <v>13</v>
      </c>
      <c r="B13" s="185"/>
      <c r="C13" s="185"/>
      <c r="D13" s="202" t="s">
        <v>14</v>
      </c>
      <c r="E13" s="203"/>
      <c r="F13" s="203"/>
      <c r="G13" s="203"/>
      <c r="H13" s="203"/>
      <c r="I13" s="203"/>
      <c r="J13" s="203"/>
      <c r="K13" s="20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15" customHeight="1" x14ac:dyDescent="0.2">
      <c r="A14" s="185"/>
      <c r="B14" s="185"/>
      <c r="C14" s="185"/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85" t="s">
        <v>22</v>
      </c>
    </row>
    <row r="15" spans="1:92" s="8" customFormat="1" ht="15" customHeight="1" x14ac:dyDescent="0.2">
      <c r="A15" s="185"/>
      <c r="B15" s="185"/>
      <c r="C15" s="185"/>
      <c r="D15" s="21"/>
      <c r="E15" s="21"/>
      <c r="F15" s="21">
        <v>46113</v>
      </c>
      <c r="G15" s="21">
        <f t="shared" ref="G15:J15" si="0">F15+1</f>
        <v>46114</v>
      </c>
      <c r="H15" s="21">
        <f t="shared" si="0"/>
        <v>46115</v>
      </c>
      <c r="I15" s="21">
        <f t="shared" si="0"/>
        <v>46116</v>
      </c>
      <c r="J15" s="21">
        <f t="shared" si="0"/>
        <v>46117</v>
      </c>
      <c r="K15" s="185"/>
      <c r="P15" s="56"/>
    </row>
    <row r="16" spans="1:92" ht="15" customHeight="1" x14ac:dyDescent="0.2">
      <c r="A16" s="9">
        <v>1</v>
      </c>
      <c r="B16" s="118" t="s">
        <v>23</v>
      </c>
      <c r="C16" s="118"/>
      <c r="D16" s="88">
        <v>0</v>
      </c>
      <c r="E16" s="88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0">
        <f>AVERAGE(F16:J16)</f>
        <v>0</v>
      </c>
    </row>
    <row r="17" spans="1:16" ht="15" customHeight="1" x14ac:dyDescent="0.2">
      <c r="A17" s="9">
        <v>2</v>
      </c>
      <c r="B17" s="118" t="s">
        <v>24</v>
      </c>
      <c r="C17" s="118"/>
      <c r="D17" s="88">
        <v>0</v>
      </c>
      <c r="E17" s="88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0">
        <f>AVERAGE(F17:J17)</f>
        <v>0</v>
      </c>
    </row>
    <row r="18" spans="1:16" ht="15" customHeight="1" x14ac:dyDescent="0.2">
      <c r="A18" s="9">
        <v>3</v>
      </c>
      <c r="B18" s="118" t="s">
        <v>25</v>
      </c>
      <c r="C18" s="118"/>
      <c r="D18" s="88">
        <v>0</v>
      </c>
      <c r="E18" s="88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0">
        <f>AVERAGE(F18:J18)</f>
        <v>0</v>
      </c>
    </row>
    <row r="19" spans="1:16" ht="15" customHeight="1" x14ac:dyDescent="0.2">
      <c r="A19" s="9">
        <v>4</v>
      </c>
      <c r="B19" s="118" t="s">
        <v>26</v>
      </c>
      <c r="C19" s="118"/>
      <c r="D19" s="88">
        <v>0</v>
      </c>
      <c r="E19" s="88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0">
        <f>AVERAGE(F19:J19)</f>
        <v>0</v>
      </c>
    </row>
    <row r="20" spans="1:16" s="6" customFormat="1" ht="15" customHeight="1" x14ac:dyDescent="0.2">
      <c r="A20" s="127" t="s">
        <v>27</v>
      </c>
      <c r="B20" s="127"/>
      <c r="C20" s="127"/>
      <c r="D20" s="11">
        <f t="shared" ref="D20:G20" si="1">D16+D18</f>
        <v>0</v>
      </c>
      <c r="E20" s="11">
        <f t="shared" si="1"/>
        <v>0</v>
      </c>
      <c r="F20" s="11">
        <f t="shared" si="1"/>
        <v>0</v>
      </c>
      <c r="G20" s="11">
        <f t="shared" si="1"/>
        <v>0</v>
      </c>
      <c r="H20" s="11">
        <f>H16+H18</f>
        <v>0</v>
      </c>
      <c r="I20" s="11">
        <f t="shared" ref="H20:J21" si="2">I16+I18</f>
        <v>0</v>
      </c>
      <c r="J20" s="11">
        <f t="shared" si="2"/>
        <v>0</v>
      </c>
      <c r="K20" s="11">
        <f>K16+K18</f>
        <v>0</v>
      </c>
    </row>
    <row r="21" spans="1:16" s="6" customFormat="1" ht="15" customHeight="1" x14ac:dyDescent="0.2">
      <c r="A21" s="127" t="s">
        <v>28</v>
      </c>
      <c r="B21" s="127"/>
      <c r="C21" s="127"/>
      <c r="D21" s="11">
        <f t="shared" ref="D21:G21" si="3">D17+D19</f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 t="shared" si="2"/>
        <v>0</v>
      </c>
      <c r="I21" s="11">
        <f t="shared" si="2"/>
        <v>0</v>
      </c>
      <c r="J21" s="11">
        <f t="shared" si="2"/>
        <v>0</v>
      </c>
      <c r="K21" s="11">
        <f>K17+K19</f>
        <v>0</v>
      </c>
    </row>
    <row r="22" spans="1:16" ht="15" customHeight="1" x14ac:dyDescent="0.2">
      <c r="A22" s="9">
        <v>5</v>
      </c>
      <c r="B22" s="118" t="s">
        <v>29</v>
      </c>
      <c r="C22" s="118"/>
      <c r="D22" s="89">
        <f t="shared" ref="D22:G22" si="4">D16*8.5</f>
        <v>0</v>
      </c>
      <c r="E22" s="89">
        <f t="shared" si="4"/>
        <v>0</v>
      </c>
      <c r="F22" s="26">
        <f t="shared" si="4"/>
        <v>0</v>
      </c>
      <c r="G22" s="26">
        <f t="shared" si="4"/>
        <v>0</v>
      </c>
      <c r="H22" s="26">
        <f>H16*8.5</f>
        <v>0</v>
      </c>
      <c r="I22" s="26">
        <f>I16*5.5</f>
        <v>0</v>
      </c>
      <c r="J22" s="26">
        <f>J16*5.5</f>
        <v>0</v>
      </c>
      <c r="K22" s="20">
        <f>SUM(F22:J22)</f>
        <v>0</v>
      </c>
    </row>
    <row r="23" spans="1:16" ht="15" customHeight="1" x14ac:dyDescent="0.2">
      <c r="A23" s="9">
        <v>6</v>
      </c>
      <c r="B23" s="118" t="s">
        <v>30</v>
      </c>
      <c r="C23" s="118"/>
      <c r="D23" s="89">
        <f t="shared" ref="D23:H23" si="5">D17*8.5</f>
        <v>0</v>
      </c>
      <c r="E23" s="89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ref="I23:J25" si="6">I17*5.5</f>
        <v>0</v>
      </c>
      <c r="J23" s="26">
        <f t="shared" si="6"/>
        <v>0</v>
      </c>
      <c r="K23" s="20">
        <f t="shared" ref="K23:K24" si="7">SUM(F23:J23)</f>
        <v>0</v>
      </c>
    </row>
    <row r="24" spans="1:16" ht="15" customHeight="1" x14ac:dyDescent="0.2">
      <c r="A24" s="9">
        <v>7</v>
      </c>
      <c r="B24" s="118" t="s">
        <v>31</v>
      </c>
      <c r="C24" s="118"/>
      <c r="D24" s="89">
        <f t="shared" ref="D24:H24" si="8">D18*8.5</f>
        <v>0</v>
      </c>
      <c r="E24" s="89">
        <f t="shared" si="8"/>
        <v>0</v>
      </c>
      <c r="F24" s="26">
        <f>F18*8.5</f>
        <v>0</v>
      </c>
      <c r="G24" s="26">
        <f t="shared" si="8"/>
        <v>0</v>
      </c>
      <c r="H24" s="26">
        <f t="shared" si="8"/>
        <v>0</v>
      </c>
      <c r="I24" s="26">
        <f t="shared" si="6"/>
        <v>0</v>
      </c>
      <c r="J24" s="26">
        <f t="shared" si="6"/>
        <v>0</v>
      </c>
      <c r="K24" s="20">
        <f t="shared" si="7"/>
        <v>0</v>
      </c>
    </row>
    <row r="25" spans="1:16" ht="15" customHeight="1" x14ac:dyDescent="0.2">
      <c r="A25" s="9">
        <v>8</v>
      </c>
      <c r="B25" s="118" t="s">
        <v>32</v>
      </c>
      <c r="C25" s="118"/>
      <c r="D25" s="89">
        <f t="shared" ref="D25:H25" si="9">D19*8.5</f>
        <v>0</v>
      </c>
      <c r="E25" s="89">
        <f t="shared" si="9"/>
        <v>0</v>
      </c>
      <c r="F25" s="26">
        <f t="shared" si="9"/>
        <v>0</v>
      </c>
      <c r="G25" s="26">
        <f t="shared" si="9"/>
        <v>0</v>
      </c>
      <c r="H25" s="26">
        <f t="shared" si="9"/>
        <v>0</v>
      </c>
      <c r="I25" s="26">
        <f t="shared" si="6"/>
        <v>0</v>
      </c>
      <c r="J25" s="26">
        <f t="shared" si="6"/>
        <v>0</v>
      </c>
      <c r="K25" s="20">
        <f>SUM(F25:J25)</f>
        <v>0</v>
      </c>
    </row>
    <row r="26" spans="1:16" s="6" customFormat="1" ht="15" customHeight="1" x14ac:dyDescent="0.2">
      <c r="A26" s="127" t="s">
        <v>33</v>
      </c>
      <c r="B26" s="127"/>
      <c r="C26" s="127"/>
      <c r="D26" s="11">
        <f>D22+D24</f>
        <v>0</v>
      </c>
      <c r="E26" s="11">
        <f t="shared" ref="E26:G26" si="10">E22+E24</f>
        <v>0</v>
      </c>
      <c r="F26" s="11">
        <f t="shared" si="10"/>
        <v>0</v>
      </c>
      <c r="G26" s="11">
        <f t="shared" si="10"/>
        <v>0</v>
      </c>
      <c r="H26" s="11">
        <f>H22+H24</f>
        <v>0</v>
      </c>
      <c r="I26" s="11">
        <f t="shared" ref="I26:J26" si="11">I22+I24</f>
        <v>0</v>
      </c>
      <c r="J26" s="11">
        <f t="shared" si="11"/>
        <v>0</v>
      </c>
      <c r="K26" s="11">
        <f>K22+K24</f>
        <v>0</v>
      </c>
    </row>
    <row r="27" spans="1:16" s="6" customFormat="1" ht="15" customHeight="1" x14ac:dyDescent="0.2">
      <c r="A27" s="127" t="s">
        <v>34</v>
      </c>
      <c r="B27" s="127"/>
      <c r="C27" s="127"/>
      <c r="D27" s="11">
        <f>D23+D25</f>
        <v>0</v>
      </c>
      <c r="E27" s="11">
        <f t="shared" ref="E27:J27" si="12">E23+E25</f>
        <v>0</v>
      </c>
      <c r="F27" s="11">
        <f t="shared" si="12"/>
        <v>0</v>
      </c>
      <c r="G27" s="11">
        <f t="shared" si="12"/>
        <v>0</v>
      </c>
      <c r="H27" s="11">
        <f t="shared" si="12"/>
        <v>0</v>
      </c>
      <c r="I27" s="11">
        <f t="shared" si="12"/>
        <v>0</v>
      </c>
      <c r="J27" s="11">
        <f t="shared" si="12"/>
        <v>0</v>
      </c>
      <c r="K27" s="11">
        <f>K23+K25</f>
        <v>0</v>
      </c>
    </row>
    <row r="28" spans="1:16" s="10" customFormat="1" ht="15" customHeight="1" x14ac:dyDescent="0.2">
      <c r="A28" s="185" t="s">
        <v>13</v>
      </c>
      <c r="B28" s="185"/>
      <c r="C28" s="185"/>
      <c r="D28" s="202" t="s">
        <v>35</v>
      </c>
      <c r="E28" s="203"/>
      <c r="F28" s="203"/>
      <c r="G28" s="203"/>
      <c r="H28" s="203"/>
      <c r="I28" s="203"/>
      <c r="J28" s="203"/>
      <c r="K28" s="204"/>
    </row>
    <row r="29" spans="1:16" ht="15" customHeight="1" x14ac:dyDescent="0.2">
      <c r="A29" s="185"/>
      <c r="B29" s="185"/>
      <c r="C29" s="185"/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20</v>
      </c>
      <c r="J29" s="12" t="s">
        <v>21</v>
      </c>
      <c r="K29" s="185" t="s">
        <v>22</v>
      </c>
    </row>
    <row r="30" spans="1:16" s="8" customFormat="1" ht="15" customHeight="1" x14ac:dyDescent="0.2">
      <c r="A30" s="185"/>
      <c r="B30" s="185"/>
      <c r="C30" s="185"/>
      <c r="D30" s="21"/>
      <c r="E30" s="21"/>
      <c r="F30" s="21">
        <f t="shared" ref="F30:J30" si="13">F15</f>
        <v>46113</v>
      </c>
      <c r="G30" s="21">
        <f t="shared" si="13"/>
        <v>46114</v>
      </c>
      <c r="H30" s="21">
        <f t="shared" si="13"/>
        <v>46115</v>
      </c>
      <c r="I30" s="21">
        <f t="shared" si="13"/>
        <v>46116</v>
      </c>
      <c r="J30" s="21">
        <f t="shared" si="13"/>
        <v>46117</v>
      </c>
      <c r="K30" s="185"/>
      <c r="P30" s="56"/>
    </row>
    <row r="31" spans="1:16" ht="15" customHeight="1" x14ac:dyDescent="0.2">
      <c r="A31" s="9">
        <v>9</v>
      </c>
      <c r="B31" s="118" t="s">
        <v>23</v>
      </c>
      <c r="C31" s="118"/>
      <c r="D31" s="88">
        <v>0</v>
      </c>
      <c r="E31" s="88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0">
        <f>AVERAGE(F31:J31)</f>
        <v>0</v>
      </c>
    </row>
    <row r="32" spans="1:16" ht="15" customHeight="1" x14ac:dyDescent="0.2">
      <c r="A32" s="9">
        <v>10</v>
      </c>
      <c r="B32" s="118" t="s">
        <v>24</v>
      </c>
      <c r="C32" s="118"/>
      <c r="D32" s="88">
        <v>0</v>
      </c>
      <c r="E32" s="88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0">
        <f>AVERAGE(F32:J32)</f>
        <v>0</v>
      </c>
    </row>
    <row r="33" spans="1:16" ht="15" customHeight="1" x14ac:dyDescent="0.2">
      <c r="A33" s="9">
        <v>11</v>
      </c>
      <c r="B33" s="118" t="s">
        <v>25</v>
      </c>
      <c r="C33" s="118"/>
      <c r="D33" s="88">
        <v>0</v>
      </c>
      <c r="E33" s="88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0">
        <f>AVERAGE(F33:J33)</f>
        <v>0</v>
      </c>
    </row>
    <row r="34" spans="1:16" ht="15" customHeight="1" x14ac:dyDescent="0.2">
      <c r="A34" s="9">
        <v>12</v>
      </c>
      <c r="B34" s="118" t="s">
        <v>26</v>
      </c>
      <c r="C34" s="118"/>
      <c r="D34" s="88">
        <v>0</v>
      </c>
      <c r="E34" s="88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0">
        <f>AVERAGE(F34:J34)</f>
        <v>0</v>
      </c>
    </row>
    <row r="35" spans="1:16" s="6" customFormat="1" ht="15" customHeight="1" x14ac:dyDescent="0.2">
      <c r="A35" s="127" t="s">
        <v>27</v>
      </c>
      <c r="B35" s="127"/>
      <c r="C35" s="127"/>
      <c r="D35" s="11">
        <f t="shared" ref="D35:G35" si="14">D31+D33</f>
        <v>0</v>
      </c>
      <c r="E35" s="11">
        <f t="shared" si="14"/>
        <v>0</v>
      </c>
      <c r="F35" s="11">
        <f t="shared" si="14"/>
        <v>0</v>
      </c>
      <c r="G35" s="11">
        <f t="shared" si="14"/>
        <v>0</v>
      </c>
      <c r="H35" s="11">
        <f>H31+H33</f>
        <v>0</v>
      </c>
      <c r="I35" s="11">
        <f t="shared" ref="I35:J35" si="15">I31+I33</f>
        <v>0</v>
      </c>
      <c r="J35" s="11">
        <f t="shared" si="15"/>
        <v>0</v>
      </c>
      <c r="K35" s="11">
        <f>K31+K33</f>
        <v>0</v>
      </c>
    </row>
    <row r="36" spans="1:16" s="6" customFormat="1" ht="15" customHeight="1" x14ac:dyDescent="0.2">
      <c r="A36" s="127" t="s">
        <v>28</v>
      </c>
      <c r="B36" s="127"/>
      <c r="C36" s="127"/>
      <c r="D36" s="11">
        <f t="shared" ref="D36:J36" si="16">D32+D34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0</v>
      </c>
      <c r="K36" s="11">
        <f>K32+K34</f>
        <v>0</v>
      </c>
    </row>
    <row r="37" spans="1:16" ht="15" customHeight="1" x14ac:dyDescent="0.2">
      <c r="A37" s="9">
        <v>13</v>
      </c>
      <c r="B37" s="118" t="s">
        <v>29</v>
      </c>
      <c r="C37" s="118"/>
      <c r="D37" s="89">
        <f t="shared" ref="D37:G37" si="17">D31*8.5</f>
        <v>0</v>
      </c>
      <c r="E37" s="89">
        <f t="shared" si="17"/>
        <v>0</v>
      </c>
      <c r="F37" s="26">
        <f t="shared" si="17"/>
        <v>0</v>
      </c>
      <c r="G37" s="26">
        <f t="shared" si="17"/>
        <v>0</v>
      </c>
      <c r="H37" s="26">
        <f>H31*8.5</f>
        <v>0</v>
      </c>
      <c r="I37" s="26">
        <f>I31*5.5</f>
        <v>0</v>
      </c>
      <c r="J37" s="26">
        <f>J31*5.5</f>
        <v>0</v>
      </c>
      <c r="K37" s="20">
        <f>SUM(F37:J37)</f>
        <v>0</v>
      </c>
    </row>
    <row r="38" spans="1:16" ht="15" customHeight="1" x14ac:dyDescent="0.2">
      <c r="A38" s="9">
        <v>14</v>
      </c>
      <c r="B38" s="118" t="s">
        <v>30</v>
      </c>
      <c r="C38" s="118"/>
      <c r="D38" s="89">
        <f t="shared" ref="D38:H38" si="18">D32*8.5</f>
        <v>0</v>
      </c>
      <c r="E38" s="89">
        <f t="shared" si="18"/>
        <v>0</v>
      </c>
      <c r="F38" s="26">
        <f t="shared" si="18"/>
        <v>0</v>
      </c>
      <c r="G38" s="26">
        <f t="shared" si="18"/>
        <v>0</v>
      </c>
      <c r="H38" s="26">
        <f t="shared" si="18"/>
        <v>0</v>
      </c>
      <c r="I38" s="26">
        <f t="shared" ref="I38:J38" si="19">I32*5.5</f>
        <v>0</v>
      </c>
      <c r="J38" s="26">
        <f t="shared" si="19"/>
        <v>0</v>
      </c>
      <c r="K38" s="20">
        <f t="shared" ref="K38" si="20">SUM(F38:J38)</f>
        <v>0</v>
      </c>
    </row>
    <row r="39" spans="1:16" ht="15" customHeight="1" x14ac:dyDescent="0.2">
      <c r="A39" s="9">
        <v>15</v>
      </c>
      <c r="B39" s="118" t="s">
        <v>31</v>
      </c>
      <c r="C39" s="118"/>
      <c r="D39" s="89">
        <f t="shared" ref="D39:E39" si="21">D33*8.5</f>
        <v>0</v>
      </c>
      <c r="E39" s="89">
        <f t="shared" si="21"/>
        <v>0</v>
      </c>
      <c r="F39" s="26">
        <f>F33*8.5</f>
        <v>0</v>
      </c>
      <c r="G39" s="26">
        <f t="shared" ref="G39:H39" si="22">G33*8.5</f>
        <v>0</v>
      </c>
      <c r="H39" s="26">
        <f t="shared" si="22"/>
        <v>0</v>
      </c>
      <c r="I39" s="26">
        <f t="shared" ref="I39:J39" si="23">I33*5.5</f>
        <v>0</v>
      </c>
      <c r="J39" s="26">
        <f t="shared" si="23"/>
        <v>0</v>
      </c>
      <c r="K39" s="20">
        <f>SUM(F39:J39)</f>
        <v>0</v>
      </c>
    </row>
    <row r="40" spans="1:16" ht="15" customHeight="1" x14ac:dyDescent="0.2">
      <c r="A40" s="9">
        <v>16</v>
      </c>
      <c r="B40" s="118" t="s">
        <v>32</v>
      </c>
      <c r="C40" s="118"/>
      <c r="D40" s="89">
        <f t="shared" ref="D40:H40" si="24">D34*8.5</f>
        <v>0</v>
      </c>
      <c r="E40" s="89">
        <f t="shared" si="24"/>
        <v>0</v>
      </c>
      <c r="F40" s="26">
        <f t="shared" si="24"/>
        <v>0</v>
      </c>
      <c r="G40" s="26">
        <f t="shared" si="24"/>
        <v>0</v>
      </c>
      <c r="H40" s="26">
        <f t="shared" si="24"/>
        <v>0</v>
      </c>
      <c r="I40" s="26">
        <f t="shared" ref="I40:J40" si="25">I34*5.5</f>
        <v>0</v>
      </c>
      <c r="J40" s="26">
        <f t="shared" si="25"/>
        <v>0</v>
      </c>
      <c r="K40" s="20">
        <f>SUM(F40:J40)</f>
        <v>0</v>
      </c>
    </row>
    <row r="41" spans="1:16" s="6" customFormat="1" ht="15" customHeight="1" x14ac:dyDescent="0.2">
      <c r="A41" s="127" t="s">
        <v>33</v>
      </c>
      <c r="B41" s="127"/>
      <c r="C41" s="127"/>
      <c r="D41" s="11">
        <f>D37+D39</f>
        <v>0</v>
      </c>
      <c r="E41" s="11">
        <f t="shared" ref="E41:G41" si="26">E37+E39</f>
        <v>0</v>
      </c>
      <c r="F41" s="11">
        <f t="shared" si="26"/>
        <v>0</v>
      </c>
      <c r="G41" s="11">
        <f t="shared" si="26"/>
        <v>0</v>
      </c>
      <c r="H41" s="11">
        <f>H37+H39</f>
        <v>0</v>
      </c>
      <c r="I41" s="11">
        <f t="shared" ref="I41:J41" si="27">I37+I39</f>
        <v>0</v>
      </c>
      <c r="J41" s="11">
        <f t="shared" si="27"/>
        <v>0</v>
      </c>
      <c r="K41" s="11">
        <f>K37+K39</f>
        <v>0</v>
      </c>
    </row>
    <row r="42" spans="1:16" s="6" customFormat="1" ht="15" customHeight="1" x14ac:dyDescent="0.2">
      <c r="A42" s="127" t="s">
        <v>34</v>
      </c>
      <c r="B42" s="127"/>
      <c r="C42" s="127"/>
      <c r="D42" s="11">
        <f>D38+D40</f>
        <v>0</v>
      </c>
      <c r="E42" s="11">
        <f t="shared" ref="E42:J42" si="28">E38+E40</f>
        <v>0</v>
      </c>
      <c r="F42" s="11">
        <f t="shared" si="28"/>
        <v>0</v>
      </c>
      <c r="G42" s="11">
        <f t="shared" si="28"/>
        <v>0</v>
      </c>
      <c r="H42" s="11">
        <f t="shared" si="28"/>
        <v>0</v>
      </c>
      <c r="I42" s="11">
        <f t="shared" si="28"/>
        <v>0</v>
      </c>
      <c r="J42" s="11">
        <f t="shared" si="28"/>
        <v>0</v>
      </c>
      <c r="K42" s="11">
        <f>K38+K40</f>
        <v>0</v>
      </c>
    </row>
    <row r="43" spans="1:16" s="10" customFormat="1" ht="15" customHeight="1" x14ac:dyDescent="0.2">
      <c r="A43" s="185" t="s">
        <v>13</v>
      </c>
      <c r="B43" s="185"/>
      <c r="C43" s="185"/>
      <c r="D43" s="202" t="s">
        <v>36</v>
      </c>
      <c r="E43" s="203"/>
      <c r="F43" s="203"/>
      <c r="G43" s="203"/>
      <c r="H43" s="203"/>
      <c r="I43" s="203"/>
      <c r="J43" s="203"/>
      <c r="K43" s="204"/>
    </row>
    <row r="44" spans="1:16" ht="15" customHeight="1" x14ac:dyDescent="0.2">
      <c r="A44" s="185"/>
      <c r="B44" s="185"/>
      <c r="C44" s="185"/>
      <c r="D44" s="12" t="s">
        <v>15</v>
      </c>
      <c r="E44" s="12" t="s">
        <v>16</v>
      </c>
      <c r="F44" s="12" t="s">
        <v>17</v>
      </c>
      <c r="G44" s="12" t="s">
        <v>18</v>
      </c>
      <c r="H44" s="12" t="s">
        <v>19</v>
      </c>
      <c r="I44" s="12" t="s">
        <v>20</v>
      </c>
      <c r="J44" s="12" t="s">
        <v>21</v>
      </c>
      <c r="K44" s="185" t="s">
        <v>22</v>
      </c>
    </row>
    <row r="45" spans="1:16" s="8" customFormat="1" ht="15" customHeight="1" x14ac:dyDescent="0.2">
      <c r="A45" s="185"/>
      <c r="B45" s="185"/>
      <c r="C45" s="185"/>
      <c r="D45" s="21"/>
      <c r="E45" s="21"/>
      <c r="F45" s="21">
        <f t="shared" ref="F45:J45" si="29">F30</f>
        <v>46113</v>
      </c>
      <c r="G45" s="21">
        <f t="shared" si="29"/>
        <v>46114</v>
      </c>
      <c r="H45" s="21">
        <f t="shared" si="29"/>
        <v>46115</v>
      </c>
      <c r="I45" s="21">
        <f t="shared" si="29"/>
        <v>46116</v>
      </c>
      <c r="J45" s="21">
        <f t="shared" si="29"/>
        <v>46117</v>
      </c>
      <c r="K45" s="185"/>
      <c r="P45" s="56"/>
    </row>
    <row r="46" spans="1:16" ht="15" customHeight="1" x14ac:dyDescent="0.2">
      <c r="A46" s="9">
        <v>17</v>
      </c>
      <c r="B46" s="118" t="s">
        <v>23</v>
      </c>
      <c r="C46" s="118"/>
      <c r="D46" s="88">
        <v>0</v>
      </c>
      <c r="E46" s="88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0">
        <f>AVERAGE(F46:J46)</f>
        <v>0</v>
      </c>
    </row>
    <row r="47" spans="1:16" ht="15" customHeight="1" x14ac:dyDescent="0.2">
      <c r="A47" s="9">
        <v>18</v>
      </c>
      <c r="B47" s="118" t="s">
        <v>24</v>
      </c>
      <c r="C47" s="118"/>
      <c r="D47" s="88">
        <v>0</v>
      </c>
      <c r="E47" s="88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0">
        <f>AVERAGE(F47:J47)</f>
        <v>0</v>
      </c>
    </row>
    <row r="48" spans="1:16" ht="15" customHeight="1" x14ac:dyDescent="0.2">
      <c r="A48" s="9">
        <v>19</v>
      </c>
      <c r="B48" s="118" t="s">
        <v>25</v>
      </c>
      <c r="C48" s="118"/>
      <c r="D48" s="88">
        <v>0</v>
      </c>
      <c r="E48" s="88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0">
        <f>AVERAGE(F48:J48)</f>
        <v>0</v>
      </c>
    </row>
    <row r="49" spans="1:16" ht="15" customHeight="1" x14ac:dyDescent="0.2">
      <c r="A49" s="9">
        <v>20</v>
      </c>
      <c r="B49" s="118" t="s">
        <v>26</v>
      </c>
      <c r="C49" s="118"/>
      <c r="D49" s="88">
        <v>0</v>
      </c>
      <c r="E49" s="88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0">
        <f>AVERAGE(F49:J49)</f>
        <v>0</v>
      </c>
    </row>
    <row r="50" spans="1:16" s="6" customFormat="1" ht="15" customHeight="1" x14ac:dyDescent="0.2">
      <c r="A50" s="127" t="s">
        <v>27</v>
      </c>
      <c r="B50" s="127"/>
      <c r="C50" s="127"/>
      <c r="D50" s="11">
        <f t="shared" ref="D50:G50" si="30">D46+D48</f>
        <v>0</v>
      </c>
      <c r="E50" s="11">
        <f t="shared" si="30"/>
        <v>0</v>
      </c>
      <c r="F50" s="11">
        <f t="shared" si="30"/>
        <v>0</v>
      </c>
      <c r="G50" s="11">
        <f t="shared" si="30"/>
        <v>0</v>
      </c>
      <c r="H50" s="11">
        <f>H46+H48</f>
        <v>0</v>
      </c>
      <c r="I50" s="11">
        <f t="shared" ref="I50:J50" si="31">I46+I48</f>
        <v>0</v>
      </c>
      <c r="J50" s="11">
        <f t="shared" si="31"/>
        <v>0</v>
      </c>
      <c r="K50" s="11">
        <f>K46+K48</f>
        <v>0</v>
      </c>
    </row>
    <row r="51" spans="1:16" s="6" customFormat="1" ht="15" customHeight="1" x14ac:dyDescent="0.2">
      <c r="A51" s="127" t="s">
        <v>28</v>
      </c>
      <c r="B51" s="127"/>
      <c r="C51" s="127"/>
      <c r="D51" s="11">
        <f t="shared" ref="D51:J51" si="32">D47+D49</f>
        <v>0</v>
      </c>
      <c r="E51" s="11">
        <f t="shared" si="32"/>
        <v>0</v>
      </c>
      <c r="F51" s="11">
        <f t="shared" si="32"/>
        <v>0</v>
      </c>
      <c r="G51" s="11">
        <f t="shared" si="32"/>
        <v>0</v>
      </c>
      <c r="H51" s="11">
        <f t="shared" si="32"/>
        <v>0</v>
      </c>
      <c r="I51" s="11">
        <f t="shared" si="32"/>
        <v>0</v>
      </c>
      <c r="J51" s="11">
        <f t="shared" si="32"/>
        <v>0</v>
      </c>
      <c r="K51" s="11">
        <f>K47+K49</f>
        <v>0</v>
      </c>
    </row>
    <row r="52" spans="1:16" ht="15" customHeight="1" x14ac:dyDescent="0.2">
      <c r="A52" s="9">
        <v>21</v>
      </c>
      <c r="B52" s="118" t="s">
        <v>29</v>
      </c>
      <c r="C52" s="118"/>
      <c r="D52" s="89">
        <f t="shared" ref="D52:G52" si="33">D46*8.5</f>
        <v>0</v>
      </c>
      <c r="E52" s="89">
        <f t="shared" si="33"/>
        <v>0</v>
      </c>
      <c r="F52" s="26">
        <f t="shared" si="33"/>
        <v>0</v>
      </c>
      <c r="G52" s="26">
        <f t="shared" si="33"/>
        <v>0</v>
      </c>
      <c r="H52" s="26">
        <f>H46*8.5</f>
        <v>0</v>
      </c>
      <c r="I52" s="26">
        <f>I46*5.5</f>
        <v>0</v>
      </c>
      <c r="J52" s="26">
        <f>J46*5.5</f>
        <v>0</v>
      </c>
      <c r="K52" s="20">
        <f>SUM(F52:J52)</f>
        <v>0</v>
      </c>
    </row>
    <row r="53" spans="1:16" ht="15" customHeight="1" x14ac:dyDescent="0.2">
      <c r="A53" s="9">
        <v>22</v>
      </c>
      <c r="B53" s="118" t="s">
        <v>30</v>
      </c>
      <c r="C53" s="118"/>
      <c r="D53" s="89">
        <f t="shared" ref="D53:H53" si="34">D47*8.5</f>
        <v>0</v>
      </c>
      <c r="E53" s="89">
        <f t="shared" si="34"/>
        <v>0</v>
      </c>
      <c r="F53" s="26">
        <f t="shared" si="34"/>
        <v>0</v>
      </c>
      <c r="G53" s="26">
        <f t="shared" si="34"/>
        <v>0</v>
      </c>
      <c r="H53" s="26">
        <f t="shared" si="34"/>
        <v>0</v>
      </c>
      <c r="I53" s="26">
        <f t="shared" ref="I53:J53" si="35">I47*5.5</f>
        <v>0</v>
      </c>
      <c r="J53" s="26">
        <f t="shared" si="35"/>
        <v>0</v>
      </c>
      <c r="K53" s="20">
        <f t="shared" ref="K53" si="36">SUM(F53:J53)</f>
        <v>0</v>
      </c>
    </row>
    <row r="54" spans="1:16" ht="15" customHeight="1" x14ac:dyDescent="0.2">
      <c r="A54" s="9">
        <v>23</v>
      </c>
      <c r="B54" s="118" t="s">
        <v>31</v>
      </c>
      <c r="C54" s="118"/>
      <c r="D54" s="89">
        <f t="shared" ref="D54:E54" si="37">D48*8.5</f>
        <v>0</v>
      </c>
      <c r="E54" s="89">
        <f t="shared" si="37"/>
        <v>0</v>
      </c>
      <c r="F54" s="26">
        <f>F48*8.5</f>
        <v>0</v>
      </c>
      <c r="G54" s="26">
        <f t="shared" ref="G54:H54" si="38">G48*8.5</f>
        <v>0</v>
      </c>
      <c r="H54" s="26">
        <f t="shared" si="38"/>
        <v>0</v>
      </c>
      <c r="I54" s="26">
        <f t="shared" ref="I54:J54" si="39">I48*5.5</f>
        <v>0</v>
      </c>
      <c r="J54" s="26">
        <f t="shared" si="39"/>
        <v>0</v>
      </c>
      <c r="K54" s="20">
        <f>SUM(F54:J54)</f>
        <v>0</v>
      </c>
    </row>
    <row r="55" spans="1:16" ht="15" customHeight="1" x14ac:dyDescent="0.2">
      <c r="A55" s="9">
        <v>24</v>
      </c>
      <c r="B55" s="118" t="s">
        <v>32</v>
      </c>
      <c r="C55" s="118"/>
      <c r="D55" s="89">
        <f t="shared" ref="D55:H55" si="40">D49*8.5</f>
        <v>0</v>
      </c>
      <c r="E55" s="89">
        <f t="shared" si="40"/>
        <v>0</v>
      </c>
      <c r="F55" s="26">
        <f t="shared" si="40"/>
        <v>0</v>
      </c>
      <c r="G55" s="26">
        <f t="shared" si="40"/>
        <v>0</v>
      </c>
      <c r="H55" s="26">
        <f t="shared" si="40"/>
        <v>0</v>
      </c>
      <c r="I55" s="26">
        <f t="shared" ref="I55:J55" si="41">I49*5.5</f>
        <v>0</v>
      </c>
      <c r="J55" s="26">
        <f t="shared" si="41"/>
        <v>0</v>
      </c>
      <c r="K55" s="20">
        <f>SUM(F55:J55)</f>
        <v>0</v>
      </c>
    </row>
    <row r="56" spans="1:16" s="6" customFormat="1" ht="15" customHeight="1" x14ac:dyDescent="0.2">
      <c r="A56" s="127" t="s">
        <v>33</v>
      </c>
      <c r="B56" s="127"/>
      <c r="C56" s="127"/>
      <c r="D56" s="11">
        <f>D52+D54</f>
        <v>0</v>
      </c>
      <c r="E56" s="11">
        <f t="shared" ref="E56:G56" si="42">E52+E54</f>
        <v>0</v>
      </c>
      <c r="F56" s="11">
        <f t="shared" si="42"/>
        <v>0</v>
      </c>
      <c r="G56" s="11">
        <f t="shared" si="42"/>
        <v>0</v>
      </c>
      <c r="H56" s="11">
        <f>H52+H54</f>
        <v>0</v>
      </c>
      <c r="I56" s="11">
        <f t="shared" ref="I56:J56" si="43">I52+I54</f>
        <v>0</v>
      </c>
      <c r="J56" s="11">
        <f t="shared" si="43"/>
        <v>0</v>
      </c>
      <c r="K56" s="11">
        <f>K52+K54</f>
        <v>0</v>
      </c>
    </row>
    <row r="57" spans="1:16" s="6" customFormat="1" ht="15" customHeight="1" x14ac:dyDescent="0.2">
      <c r="A57" s="127" t="s">
        <v>34</v>
      </c>
      <c r="B57" s="127"/>
      <c r="C57" s="127"/>
      <c r="D57" s="11">
        <f>D53+D55</f>
        <v>0</v>
      </c>
      <c r="E57" s="11">
        <f t="shared" ref="E57:J57" si="44">E53+E55</f>
        <v>0</v>
      </c>
      <c r="F57" s="11">
        <f t="shared" si="44"/>
        <v>0</v>
      </c>
      <c r="G57" s="11">
        <f t="shared" si="44"/>
        <v>0</v>
      </c>
      <c r="H57" s="11">
        <f t="shared" si="44"/>
        <v>0</v>
      </c>
      <c r="I57" s="11">
        <f t="shared" si="44"/>
        <v>0</v>
      </c>
      <c r="J57" s="11">
        <f t="shared" si="44"/>
        <v>0</v>
      </c>
      <c r="K57" s="11">
        <f>K53+K55</f>
        <v>0</v>
      </c>
    </row>
    <row r="58" spans="1:16" s="10" customFormat="1" ht="15" customHeight="1" x14ac:dyDescent="0.2">
      <c r="A58" s="185" t="s">
        <v>13</v>
      </c>
      <c r="B58" s="185"/>
      <c r="C58" s="185"/>
      <c r="D58" s="202" t="s">
        <v>37</v>
      </c>
      <c r="E58" s="203"/>
      <c r="F58" s="203"/>
      <c r="G58" s="203"/>
      <c r="H58" s="203"/>
      <c r="I58" s="203"/>
      <c r="J58" s="203"/>
      <c r="K58" s="204"/>
    </row>
    <row r="59" spans="1:16" ht="15" customHeight="1" x14ac:dyDescent="0.2">
      <c r="A59" s="185"/>
      <c r="B59" s="185"/>
      <c r="C59" s="185"/>
      <c r="D59" s="12" t="s">
        <v>15</v>
      </c>
      <c r="E59" s="12" t="s">
        <v>16</v>
      </c>
      <c r="F59" s="12" t="s">
        <v>17</v>
      </c>
      <c r="G59" s="12" t="s">
        <v>18</v>
      </c>
      <c r="H59" s="12" t="s">
        <v>19</v>
      </c>
      <c r="I59" s="12" t="s">
        <v>20</v>
      </c>
      <c r="J59" s="12" t="s">
        <v>21</v>
      </c>
      <c r="K59" s="185" t="s">
        <v>22</v>
      </c>
    </row>
    <row r="60" spans="1:16" s="8" customFormat="1" ht="15" customHeight="1" x14ac:dyDescent="0.2">
      <c r="A60" s="185"/>
      <c r="B60" s="185"/>
      <c r="C60" s="185"/>
      <c r="D60" s="21"/>
      <c r="E60" s="21"/>
      <c r="F60" s="21">
        <f t="shared" ref="F60:J60" si="45">F45</f>
        <v>46113</v>
      </c>
      <c r="G60" s="21">
        <f t="shared" si="45"/>
        <v>46114</v>
      </c>
      <c r="H60" s="21">
        <f t="shared" si="45"/>
        <v>46115</v>
      </c>
      <c r="I60" s="21">
        <f t="shared" si="45"/>
        <v>46116</v>
      </c>
      <c r="J60" s="21">
        <f t="shared" si="45"/>
        <v>46117</v>
      </c>
      <c r="K60" s="185"/>
      <c r="P60" s="56"/>
    </row>
    <row r="61" spans="1:16" ht="15" customHeight="1" x14ac:dyDescent="0.2">
      <c r="A61" s="9">
        <v>25</v>
      </c>
      <c r="B61" s="118" t="s">
        <v>23</v>
      </c>
      <c r="C61" s="118"/>
      <c r="D61" s="88">
        <v>0</v>
      </c>
      <c r="E61" s="88">
        <v>0</v>
      </c>
      <c r="F61" s="26">
        <f>F16+F31</f>
        <v>0</v>
      </c>
      <c r="G61" s="26">
        <f>G16+G31</f>
        <v>0</v>
      </c>
      <c r="H61" s="26">
        <f>H16+H31</f>
        <v>0</v>
      </c>
      <c r="I61" s="26">
        <f>I16+I31</f>
        <v>0</v>
      </c>
      <c r="J61" s="26">
        <f t="shared" ref="J61:J64" si="46">J16+J31+J46</f>
        <v>0</v>
      </c>
      <c r="K61" s="20">
        <f>AVERAGE(F61:J61)</f>
        <v>0</v>
      </c>
    </row>
    <row r="62" spans="1:16" ht="15" customHeight="1" x14ac:dyDescent="0.2">
      <c r="A62" s="9">
        <v>26</v>
      </c>
      <c r="B62" s="118" t="s">
        <v>24</v>
      </c>
      <c r="C62" s="118"/>
      <c r="D62" s="88">
        <v>0</v>
      </c>
      <c r="E62" s="88">
        <v>0</v>
      </c>
      <c r="F62" s="26">
        <f>F17+F32</f>
        <v>0</v>
      </c>
      <c r="G62" s="26">
        <f t="shared" ref="G62:I64" si="47">G17+G32</f>
        <v>0</v>
      </c>
      <c r="H62" s="26">
        <f t="shared" si="47"/>
        <v>0</v>
      </c>
      <c r="I62" s="26">
        <f t="shared" si="47"/>
        <v>0</v>
      </c>
      <c r="J62" s="26">
        <f t="shared" si="46"/>
        <v>0</v>
      </c>
      <c r="K62" s="20">
        <f t="shared" ref="K62:K64" si="48">AVERAGE(F62:J62)</f>
        <v>0</v>
      </c>
    </row>
    <row r="63" spans="1:16" ht="15" customHeight="1" x14ac:dyDescent="0.2">
      <c r="A63" s="9">
        <v>27</v>
      </c>
      <c r="B63" s="118" t="s">
        <v>25</v>
      </c>
      <c r="C63" s="118"/>
      <c r="D63" s="88">
        <v>0</v>
      </c>
      <c r="E63" s="88">
        <v>0</v>
      </c>
      <c r="F63" s="26">
        <f>F18+F33</f>
        <v>0</v>
      </c>
      <c r="G63" s="26">
        <f t="shared" si="47"/>
        <v>0</v>
      </c>
      <c r="H63" s="26">
        <f t="shared" si="47"/>
        <v>0</v>
      </c>
      <c r="I63" s="26">
        <f t="shared" si="47"/>
        <v>0</v>
      </c>
      <c r="J63" s="26">
        <f t="shared" si="46"/>
        <v>0</v>
      </c>
      <c r="K63" s="20">
        <f t="shared" si="48"/>
        <v>0</v>
      </c>
    </row>
    <row r="64" spans="1:16" ht="15" customHeight="1" x14ac:dyDescent="0.2">
      <c r="A64" s="9">
        <v>28</v>
      </c>
      <c r="B64" s="118" t="s">
        <v>26</v>
      </c>
      <c r="C64" s="118"/>
      <c r="D64" s="88">
        <v>0</v>
      </c>
      <c r="E64" s="88">
        <v>0</v>
      </c>
      <c r="F64" s="26">
        <f>F19+F34</f>
        <v>0</v>
      </c>
      <c r="G64" s="26">
        <f t="shared" si="47"/>
        <v>0</v>
      </c>
      <c r="H64" s="26">
        <f t="shared" si="47"/>
        <v>0</v>
      </c>
      <c r="I64" s="26">
        <f t="shared" si="47"/>
        <v>0</v>
      </c>
      <c r="J64" s="26">
        <f t="shared" si="46"/>
        <v>0</v>
      </c>
      <c r="K64" s="20">
        <f t="shared" si="48"/>
        <v>0</v>
      </c>
    </row>
    <row r="65" spans="1:11" s="6" customFormat="1" ht="15" customHeight="1" x14ac:dyDescent="0.2">
      <c r="A65" s="127" t="s">
        <v>27</v>
      </c>
      <c r="B65" s="127"/>
      <c r="C65" s="127"/>
      <c r="D65" s="11">
        <f t="shared" ref="D65:K66" si="49">D61+D63</f>
        <v>0</v>
      </c>
      <c r="E65" s="11">
        <f t="shared" si="49"/>
        <v>0</v>
      </c>
      <c r="F65" s="11">
        <f t="shared" si="49"/>
        <v>0</v>
      </c>
      <c r="G65" s="11">
        <f t="shared" si="49"/>
        <v>0</v>
      </c>
      <c r="H65" s="11">
        <f t="shared" si="49"/>
        <v>0</v>
      </c>
      <c r="I65" s="11">
        <f t="shared" si="49"/>
        <v>0</v>
      </c>
      <c r="J65" s="11">
        <f t="shared" si="49"/>
        <v>0</v>
      </c>
      <c r="K65" s="11">
        <f>K61+K63</f>
        <v>0</v>
      </c>
    </row>
    <row r="66" spans="1:11" s="6" customFormat="1" ht="15" customHeight="1" x14ac:dyDescent="0.2">
      <c r="A66" s="127" t="s">
        <v>28</v>
      </c>
      <c r="B66" s="127"/>
      <c r="C66" s="127"/>
      <c r="D66" s="11">
        <f t="shared" ref="D66:E66" si="50">D62+D64</f>
        <v>0</v>
      </c>
      <c r="E66" s="11">
        <f t="shared" si="50"/>
        <v>0</v>
      </c>
      <c r="F66" s="11">
        <f t="shared" si="49"/>
        <v>0</v>
      </c>
      <c r="G66" s="11">
        <f t="shared" si="49"/>
        <v>0</v>
      </c>
      <c r="H66" s="11">
        <f t="shared" si="49"/>
        <v>0</v>
      </c>
      <c r="I66" s="11">
        <f t="shared" si="49"/>
        <v>0</v>
      </c>
      <c r="J66" s="11">
        <f t="shared" si="49"/>
        <v>0</v>
      </c>
      <c r="K66" s="11">
        <f t="shared" si="49"/>
        <v>0</v>
      </c>
    </row>
    <row r="67" spans="1:11" ht="15" customHeight="1" x14ac:dyDescent="0.2">
      <c r="A67" s="9">
        <v>29</v>
      </c>
      <c r="B67" s="118" t="s">
        <v>29</v>
      </c>
      <c r="C67" s="118"/>
      <c r="D67" s="89">
        <f t="shared" ref="D67:E67" si="51">D61*8.5</f>
        <v>0</v>
      </c>
      <c r="E67" s="89">
        <f t="shared" si="51"/>
        <v>0</v>
      </c>
      <c r="F67" s="26">
        <f t="shared" ref="F67:J70" si="52">F22+F37+F52</f>
        <v>0</v>
      </c>
      <c r="G67" s="26">
        <f t="shared" si="52"/>
        <v>0</v>
      </c>
      <c r="H67" s="26">
        <f t="shared" si="52"/>
        <v>0</v>
      </c>
      <c r="I67" s="26">
        <f t="shared" si="52"/>
        <v>0</v>
      </c>
      <c r="J67" s="26">
        <f t="shared" si="52"/>
        <v>0</v>
      </c>
      <c r="K67" s="20">
        <f>SUM(D67:J67)</f>
        <v>0</v>
      </c>
    </row>
    <row r="68" spans="1:11" ht="15" customHeight="1" x14ac:dyDescent="0.2">
      <c r="A68" s="9">
        <v>30</v>
      </c>
      <c r="B68" s="118" t="s">
        <v>30</v>
      </c>
      <c r="C68" s="118"/>
      <c r="D68" s="89">
        <f t="shared" ref="D68:E68" si="53">D62*8.5</f>
        <v>0</v>
      </c>
      <c r="E68" s="89">
        <f t="shared" si="53"/>
        <v>0</v>
      </c>
      <c r="F68" s="26">
        <f t="shared" si="52"/>
        <v>0</v>
      </c>
      <c r="G68" s="26">
        <f t="shared" si="52"/>
        <v>0</v>
      </c>
      <c r="H68" s="26">
        <f t="shared" si="52"/>
        <v>0</v>
      </c>
      <c r="I68" s="26">
        <f t="shared" si="52"/>
        <v>0</v>
      </c>
      <c r="J68" s="26">
        <f t="shared" si="52"/>
        <v>0</v>
      </c>
      <c r="K68" s="20">
        <f>SUM(D68:J68)</f>
        <v>0</v>
      </c>
    </row>
    <row r="69" spans="1:11" ht="15" customHeight="1" x14ac:dyDescent="0.2">
      <c r="A69" s="9">
        <v>31</v>
      </c>
      <c r="B69" s="118" t="s">
        <v>31</v>
      </c>
      <c r="C69" s="118"/>
      <c r="D69" s="89">
        <f t="shared" ref="D69:E69" si="54">D63*8.5</f>
        <v>0</v>
      </c>
      <c r="E69" s="89">
        <f t="shared" si="54"/>
        <v>0</v>
      </c>
      <c r="F69" s="26">
        <f t="shared" si="52"/>
        <v>0</v>
      </c>
      <c r="G69" s="26">
        <f t="shared" si="52"/>
        <v>0</v>
      </c>
      <c r="H69" s="26">
        <f t="shared" si="52"/>
        <v>0</v>
      </c>
      <c r="I69" s="26">
        <f t="shared" si="52"/>
        <v>0</v>
      </c>
      <c r="J69" s="26">
        <f t="shared" si="52"/>
        <v>0</v>
      </c>
      <c r="K69" s="20">
        <f>SUM(D69:J69)</f>
        <v>0</v>
      </c>
    </row>
    <row r="70" spans="1:11" ht="15" customHeight="1" x14ac:dyDescent="0.2">
      <c r="A70" s="9">
        <v>32</v>
      </c>
      <c r="B70" s="118" t="s">
        <v>32</v>
      </c>
      <c r="C70" s="118"/>
      <c r="D70" s="89">
        <f t="shared" ref="D70:E70" si="55">D64*8.5</f>
        <v>0</v>
      </c>
      <c r="E70" s="89">
        <f t="shared" si="55"/>
        <v>0</v>
      </c>
      <c r="F70" s="26">
        <f t="shared" si="52"/>
        <v>0</v>
      </c>
      <c r="G70" s="26">
        <f t="shared" si="52"/>
        <v>0</v>
      </c>
      <c r="H70" s="26">
        <f t="shared" si="52"/>
        <v>0</v>
      </c>
      <c r="I70" s="26">
        <f t="shared" si="52"/>
        <v>0</v>
      </c>
      <c r="J70" s="26">
        <f t="shared" si="52"/>
        <v>0</v>
      </c>
      <c r="K70" s="20">
        <f>SUM(D70:J70)</f>
        <v>0</v>
      </c>
    </row>
    <row r="71" spans="1:11" s="6" customFormat="1" ht="15" customHeight="1" x14ac:dyDescent="0.2">
      <c r="A71" s="127" t="s">
        <v>33</v>
      </c>
      <c r="B71" s="127"/>
      <c r="C71" s="127"/>
      <c r="D71" s="11">
        <f>D67+D69</f>
        <v>0</v>
      </c>
      <c r="E71" s="11">
        <f t="shared" ref="E71:H72" si="56">E67+E69</f>
        <v>0</v>
      </c>
      <c r="F71" s="11">
        <f t="shared" si="56"/>
        <v>0</v>
      </c>
      <c r="G71" s="11">
        <f t="shared" si="56"/>
        <v>0</v>
      </c>
      <c r="H71" s="11">
        <f t="shared" si="56"/>
        <v>0</v>
      </c>
      <c r="I71" s="11">
        <f>I67+I69</f>
        <v>0</v>
      </c>
      <c r="J71" s="11">
        <f t="shared" ref="J71:K72" si="57">J67+J69</f>
        <v>0</v>
      </c>
      <c r="K71" s="11">
        <f t="shared" si="57"/>
        <v>0</v>
      </c>
    </row>
    <row r="72" spans="1:11" s="6" customFormat="1" ht="15" customHeight="1" x14ac:dyDescent="0.2">
      <c r="A72" s="127" t="s">
        <v>34</v>
      </c>
      <c r="B72" s="127"/>
      <c r="C72" s="127"/>
      <c r="D72" s="11">
        <f>D68+D70</f>
        <v>0</v>
      </c>
      <c r="E72" s="11">
        <f t="shared" ref="E72" si="58">E68+E70</f>
        <v>0</v>
      </c>
      <c r="F72" s="11">
        <f t="shared" si="56"/>
        <v>0</v>
      </c>
      <c r="G72" s="11">
        <f t="shared" si="56"/>
        <v>0</v>
      </c>
      <c r="H72" s="11">
        <f t="shared" si="56"/>
        <v>0</v>
      </c>
      <c r="I72" s="11">
        <f>I68+I70</f>
        <v>0</v>
      </c>
      <c r="J72" s="11">
        <f t="shared" si="57"/>
        <v>0</v>
      </c>
      <c r="K72" s="11">
        <f t="shared" si="57"/>
        <v>0</v>
      </c>
    </row>
    <row r="73" spans="1:11" ht="45.75" customHeight="1" x14ac:dyDescent="0.2">
      <c r="A73" s="94"/>
      <c r="B73" s="95"/>
      <c r="C73" s="95"/>
      <c r="D73" s="95"/>
      <c r="E73" s="95"/>
      <c r="F73" s="95"/>
      <c r="G73" s="95"/>
      <c r="H73" s="95"/>
      <c r="I73" s="95"/>
      <c r="J73" s="95"/>
      <c r="K73" s="96"/>
    </row>
    <row r="74" spans="1:11" ht="70.5" customHeight="1" x14ac:dyDescent="0.2">
      <c r="A74" s="97"/>
      <c r="B74" s="98"/>
      <c r="C74" s="98"/>
      <c r="D74" s="98"/>
      <c r="E74" s="98"/>
      <c r="F74" s="98"/>
      <c r="G74" s="98"/>
      <c r="H74" s="98"/>
      <c r="I74" s="98"/>
      <c r="J74" s="98"/>
      <c r="K74" s="99"/>
    </row>
    <row r="75" spans="1:11" ht="78" customHeight="1" x14ac:dyDescent="0.2">
      <c r="A75" s="97"/>
      <c r="B75" s="98"/>
      <c r="C75" s="98"/>
      <c r="D75" s="98"/>
      <c r="E75" s="98"/>
      <c r="F75" s="98"/>
      <c r="G75" s="98"/>
      <c r="H75" s="98"/>
      <c r="I75" s="98"/>
      <c r="J75" s="98"/>
      <c r="K75" s="99"/>
    </row>
    <row r="76" spans="1:11" ht="87.75" customHeight="1" x14ac:dyDescent="0.2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9"/>
    </row>
    <row r="77" spans="1:11" ht="70.5" customHeight="1" x14ac:dyDescent="0.2">
      <c r="A77" s="97"/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ht="45.75" customHeight="1" x14ac:dyDescent="0.2">
      <c r="A78" s="98"/>
      <c r="B78" s="245" t="s">
        <v>174</v>
      </c>
      <c r="C78" s="245"/>
      <c r="D78" s="98"/>
      <c r="E78" s="98"/>
      <c r="F78" s="98"/>
      <c r="G78" s="98"/>
      <c r="H78" s="98"/>
      <c r="I78" s="98"/>
      <c r="J78" s="98"/>
      <c r="K78" s="98"/>
    </row>
    <row r="79" spans="1:11" ht="44.25" customHeight="1" x14ac:dyDescent="0.2">
      <c r="A79" s="98"/>
      <c r="B79" s="74" t="s">
        <v>170</v>
      </c>
      <c r="C79" s="75">
        <f>K26+K27</f>
        <v>0</v>
      </c>
      <c r="D79" s="98"/>
      <c r="E79" s="98"/>
      <c r="F79" s="98"/>
      <c r="G79" s="98"/>
      <c r="H79" s="98"/>
      <c r="I79" s="98"/>
      <c r="J79" s="98"/>
      <c r="K79" s="98"/>
    </row>
    <row r="80" spans="1:11" ht="37.5" customHeight="1" x14ac:dyDescent="0.2">
      <c r="A80" s="98"/>
      <c r="B80" s="74" t="s">
        <v>172</v>
      </c>
      <c r="C80" s="75">
        <f>K41+K42</f>
        <v>0</v>
      </c>
      <c r="D80" s="98"/>
      <c r="E80" s="98"/>
      <c r="F80" s="98"/>
      <c r="G80" s="98"/>
      <c r="H80" s="98"/>
      <c r="I80" s="98"/>
      <c r="J80" s="98"/>
      <c r="K80" s="98"/>
    </row>
    <row r="81" spans="1:16" ht="39" customHeight="1" x14ac:dyDescent="0.2">
      <c r="A81" s="98"/>
      <c r="B81" s="74" t="s">
        <v>36</v>
      </c>
      <c r="C81" s="75">
        <f>K56+K57</f>
        <v>0</v>
      </c>
      <c r="D81" s="98"/>
      <c r="E81" s="98"/>
      <c r="F81" s="98"/>
      <c r="G81" s="98"/>
      <c r="H81" s="98"/>
      <c r="I81" s="98"/>
      <c r="J81" s="98"/>
      <c r="K81" s="98"/>
    </row>
    <row r="82" spans="1:16" ht="33" customHeight="1" x14ac:dyDescent="0.2">
      <c r="A82" s="98"/>
      <c r="B82" s="76" t="s">
        <v>173</v>
      </c>
      <c r="C82" s="73">
        <f>SUM(C79:C81)</f>
        <v>0</v>
      </c>
      <c r="D82" s="98"/>
      <c r="E82" s="98"/>
      <c r="F82" s="98"/>
      <c r="G82" s="98"/>
      <c r="H82" s="98"/>
      <c r="I82" s="98"/>
      <c r="J82" s="98"/>
      <c r="K82" s="98"/>
    </row>
    <row r="83" spans="1:16" ht="26.25" customHeight="1" x14ac:dyDescent="0.2">
      <c r="A83" s="246"/>
      <c r="B83" s="134"/>
      <c r="C83" s="134"/>
      <c r="D83" s="247"/>
      <c r="E83" s="247"/>
      <c r="F83" s="247"/>
      <c r="G83" s="247"/>
      <c r="H83" s="247"/>
      <c r="I83" s="247"/>
      <c r="J83" s="247"/>
      <c r="K83" s="248"/>
    </row>
    <row r="84" spans="1:16" s="10" customFormat="1" ht="15" customHeight="1" x14ac:dyDescent="0.2">
      <c r="A84" s="185" t="s">
        <v>38</v>
      </c>
      <c r="B84" s="185"/>
      <c r="C84" s="185"/>
      <c r="D84" s="202" t="s">
        <v>39</v>
      </c>
      <c r="E84" s="203"/>
      <c r="F84" s="203"/>
      <c r="G84" s="203"/>
      <c r="H84" s="203"/>
      <c r="I84" s="203"/>
      <c r="J84" s="203"/>
      <c r="K84" s="204"/>
    </row>
    <row r="85" spans="1:16" ht="15" customHeight="1" x14ac:dyDescent="0.2">
      <c r="A85" s="185"/>
      <c r="B85" s="185"/>
      <c r="C85" s="185"/>
      <c r="D85" s="12" t="s">
        <v>15</v>
      </c>
      <c r="E85" s="12" t="s">
        <v>16</v>
      </c>
      <c r="F85" s="12" t="s">
        <v>17</v>
      </c>
      <c r="G85" s="12" t="s">
        <v>18</v>
      </c>
      <c r="H85" s="12" t="s">
        <v>19</v>
      </c>
      <c r="I85" s="12" t="s">
        <v>20</v>
      </c>
      <c r="J85" s="12" t="s">
        <v>21</v>
      </c>
      <c r="K85" s="185" t="s">
        <v>22</v>
      </c>
    </row>
    <row r="86" spans="1:16" s="8" customFormat="1" ht="15" customHeight="1" x14ac:dyDescent="0.2">
      <c r="A86" s="185"/>
      <c r="B86" s="185"/>
      <c r="C86" s="185"/>
      <c r="D86" s="21"/>
      <c r="E86" s="21"/>
      <c r="F86" s="21">
        <f>F60</f>
        <v>46113</v>
      </c>
      <c r="G86" s="21">
        <f>G60</f>
        <v>46114</v>
      </c>
      <c r="H86" s="21">
        <f>H60</f>
        <v>46115</v>
      </c>
      <c r="I86" s="21">
        <f>I60</f>
        <v>46116</v>
      </c>
      <c r="J86" s="21">
        <f>J60</f>
        <v>46117</v>
      </c>
      <c r="K86" s="185"/>
      <c r="P86" s="56"/>
    </row>
    <row r="87" spans="1:16" ht="15" customHeight="1" x14ac:dyDescent="0.2">
      <c r="A87" s="9">
        <v>1</v>
      </c>
      <c r="B87" s="118"/>
      <c r="C87" s="118"/>
      <c r="D87" s="89">
        <v>0</v>
      </c>
      <c r="E87" s="89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0">
        <f>AVERAGE(D87:J87)</f>
        <v>0</v>
      </c>
    </row>
    <row r="88" spans="1:16" ht="15" customHeight="1" x14ac:dyDescent="0.2">
      <c r="A88" s="9">
        <v>2</v>
      </c>
      <c r="B88" s="118"/>
      <c r="C88" s="118"/>
      <c r="D88" s="89">
        <v>0</v>
      </c>
      <c r="E88" s="89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0">
        <f>AVERAGE(D88:J88)</f>
        <v>0</v>
      </c>
    </row>
    <row r="89" spans="1:16" ht="15" customHeight="1" x14ac:dyDescent="0.2">
      <c r="A89" s="9">
        <v>3</v>
      </c>
      <c r="B89" s="118"/>
      <c r="C89" s="118"/>
      <c r="D89" s="89">
        <v>0</v>
      </c>
      <c r="E89" s="89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0">
        <f t="shared" ref="K89:K90" si="59">AVERAGE(D89:J89)</f>
        <v>0</v>
      </c>
    </row>
    <row r="90" spans="1:16" ht="15" customHeight="1" x14ac:dyDescent="0.2">
      <c r="A90" s="9">
        <v>4</v>
      </c>
      <c r="B90" s="118"/>
      <c r="C90" s="118"/>
      <c r="D90" s="89">
        <v>0</v>
      </c>
      <c r="E90" s="89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0">
        <f t="shared" si="59"/>
        <v>0</v>
      </c>
    </row>
    <row r="91" spans="1:16" ht="15" customHeight="1" x14ac:dyDescent="0.2">
      <c r="A91" s="9">
        <v>5</v>
      </c>
      <c r="B91" s="118"/>
      <c r="C91" s="118"/>
      <c r="D91" s="89">
        <v>0</v>
      </c>
      <c r="E91" s="89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0">
        <f t="shared" ref="K91:K94" si="60">AVERAGE(D91:J91)</f>
        <v>0</v>
      </c>
    </row>
    <row r="92" spans="1:16" ht="15" customHeight="1" x14ac:dyDescent="0.2">
      <c r="A92" s="9">
        <v>6</v>
      </c>
      <c r="B92" s="118"/>
      <c r="C92" s="118"/>
      <c r="D92" s="89">
        <v>0</v>
      </c>
      <c r="E92" s="89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0">
        <f t="shared" si="60"/>
        <v>0</v>
      </c>
    </row>
    <row r="93" spans="1:16" ht="15" customHeight="1" x14ac:dyDescent="0.2">
      <c r="A93" s="9">
        <v>7</v>
      </c>
      <c r="B93" s="118"/>
      <c r="C93" s="118"/>
      <c r="D93" s="89">
        <v>0</v>
      </c>
      <c r="E93" s="89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0">
        <f t="shared" si="60"/>
        <v>0</v>
      </c>
    </row>
    <row r="94" spans="1:16" ht="15" customHeight="1" x14ac:dyDescent="0.2">
      <c r="A94" s="9">
        <v>8</v>
      </c>
      <c r="B94" s="118"/>
      <c r="C94" s="118"/>
      <c r="D94" s="89">
        <v>0</v>
      </c>
      <c r="E94" s="89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0">
        <f t="shared" si="60"/>
        <v>0</v>
      </c>
    </row>
    <row r="95" spans="1:16" s="6" customFormat="1" ht="15" customHeight="1" x14ac:dyDescent="0.2">
      <c r="A95" s="127" t="s">
        <v>40</v>
      </c>
      <c r="B95" s="127"/>
      <c r="C95" s="127"/>
      <c r="D95" s="11">
        <f>SUM(D87:D94)</f>
        <v>0</v>
      </c>
      <c r="E95" s="11">
        <f t="shared" ref="E95:K95" si="61">SUM(E87:E94)</f>
        <v>0</v>
      </c>
      <c r="F95" s="11">
        <f t="shared" si="61"/>
        <v>0</v>
      </c>
      <c r="G95" s="11">
        <f t="shared" si="61"/>
        <v>0</v>
      </c>
      <c r="H95" s="11">
        <f t="shared" si="61"/>
        <v>0</v>
      </c>
      <c r="I95" s="11">
        <f t="shared" si="61"/>
        <v>0</v>
      </c>
      <c r="J95" s="11">
        <f t="shared" si="61"/>
        <v>0</v>
      </c>
      <c r="K95" s="11">
        <f t="shared" si="61"/>
        <v>0</v>
      </c>
    </row>
    <row r="96" spans="1:16" ht="12.95" customHeight="1" x14ac:dyDescent="0.2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</row>
    <row r="97" spans="1:14" s="72" customFormat="1" ht="27" customHeight="1" x14ac:dyDescent="0.2">
      <c r="A97" s="221" t="s">
        <v>175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3"/>
    </row>
    <row r="98" spans="1:14" s="72" customFormat="1" ht="6" customHeight="1" x14ac:dyDescent="0.2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 spans="1:14" s="77" customFormat="1" ht="22.5" customHeight="1" x14ac:dyDescent="0.2">
      <c r="A99" s="227" t="s">
        <v>176</v>
      </c>
      <c r="B99" s="228"/>
      <c r="C99" s="228"/>
      <c r="D99" s="228"/>
      <c r="E99" s="228"/>
      <c r="F99" s="228"/>
      <c r="G99" s="228"/>
      <c r="H99" s="228"/>
      <c r="I99" s="228"/>
      <c r="J99" s="228"/>
      <c r="K99" s="229"/>
    </row>
    <row r="100" spans="1:14" s="72" customFormat="1" ht="33" customHeight="1" x14ac:dyDescent="0.2">
      <c r="A100" s="249" t="s">
        <v>42</v>
      </c>
      <c r="B100" s="250"/>
      <c r="C100" s="103" t="s">
        <v>177</v>
      </c>
      <c r="D100" s="252" t="s">
        <v>81</v>
      </c>
      <c r="E100" s="253"/>
      <c r="F100" s="254"/>
      <c r="G100" s="102" t="s">
        <v>195</v>
      </c>
      <c r="H100" s="102" t="s">
        <v>196</v>
      </c>
      <c r="I100" s="101" t="s">
        <v>82</v>
      </c>
      <c r="J100" s="101" t="s">
        <v>83</v>
      </c>
      <c r="K100" s="101" t="s">
        <v>84</v>
      </c>
    </row>
    <row r="101" spans="1:14" s="72" customFormat="1" ht="28.5" customHeight="1" x14ac:dyDescent="0.2">
      <c r="A101" s="244"/>
      <c r="B101" s="244"/>
      <c r="C101" s="281"/>
      <c r="D101" s="278"/>
      <c r="E101" s="279"/>
      <c r="F101" s="280"/>
      <c r="G101" s="282"/>
      <c r="H101" s="276"/>
      <c r="I101" s="276"/>
      <c r="J101" s="78">
        <f>G101*I101</f>
        <v>0</v>
      </c>
      <c r="K101" s="78">
        <f>H101*I101</f>
        <v>0</v>
      </c>
      <c r="N101" s="105" t="s">
        <v>178</v>
      </c>
    </row>
    <row r="102" spans="1:14" s="72" customFormat="1" ht="32.25" customHeight="1" x14ac:dyDescent="0.2">
      <c r="A102" s="244"/>
      <c r="B102" s="244"/>
      <c r="C102" s="281"/>
      <c r="D102" s="278"/>
      <c r="E102" s="279"/>
      <c r="F102" s="280"/>
      <c r="G102" s="282"/>
      <c r="H102" s="276"/>
      <c r="I102" s="276"/>
      <c r="J102" s="78">
        <f>G102*I102</f>
        <v>0</v>
      </c>
      <c r="K102" s="78">
        <f>H102*I102</f>
        <v>0</v>
      </c>
      <c r="N102" s="105" t="s">
        <v>179</v>
      </c>
    </row>
    <row r="103" spans="1:14" s="72" customFormat="1" ht="30.75" customHeight="1" x14ac:dyDescent="0.2">
      <c r="A103" s="244"/>
      <c r="B103" s="244"/>
      <c r="C103" s="281"/>
      <c r="D103" s="278"/>
      <c r="E103" s="279"/>
      <c r="F103" s="280"/>
      <c r="G103" s="282"/>
      <c r="H103" s="276"/>
      <c r="I103" s="276"/>
      <c r="J103" s="78">
        <f t="shared" ref="J102:J118" si="62">G103*I103</f>
        <v>0</v>
      </c>
      <c r="K103" s="78">
        <f t="shared" ref="K102:K118" si="63">H103*I103</f>
        <v>0</v>
      </c>
      <c r="N103" s="105" t="s">
        <v>197</v>
      </c>
    </row>
    <row r="104" spans="1:14" s="72" customFormat="1" ht="30" customHeight="1" x14ac:dyDescent="0.2">
      <c r="A104" s="244"/>
      <c r="B104" s="244"/>
      <c r="C104" s="281"/>
      <c r="D104" s="278"/>
      <c r="E104" s="279"/>
      <c r="F104" s="280"/>
      <c r="G104" s="282"/>
      <c r="H104" s="276"/>
      <c r="I104" s="276"/>
      <c r="J104" s="78">
        <f t="shared" si="62"/>
        <v>0</v>
      </c>
      <c r="K104" s="78">
        <f t="shared" si="63"/>
        <v>0</v>
      </c>
      <c r="N104" s="105" t="s">
        <v>180</v>
      </c>
    </row>
    <row r="105" spans="1:14" s="72" customFormat="1" ht="30" customHeight="1" x14ac:dyDescent="0.2">
      <c r="A105" s="244"/>
      <c r="B105" s="244"/>
      <c r="C105" s="281"/>
      <c r="D105" s="278"/>
      <c r="E105" s="279"/>
      <c r="F105" s="280"/>
      <c r="G105" s="282"/>
      <c r="H105" s="276"/>
      <c r="I105" s="276"/>
      <c r="J105" s="78">
        <f t="shared" ref="J105:J109" si="64">G105*I105</f>
        <v>0</v>
      </c>
      <c r="K105" s="78">
        <f t="shared" ref="K105:K109" si="65">H105*I105</f>
        <v>0</v>
      </c>
      <c r="N105" s="105"/>
    </row>
    <row r="106" spans="1:14" s="72" customFormat="1" ht="30" customHeight="1" x14ac:dyDescent="0.2">
      <c r="A106" s="244"/>
      <c r="B106" s="244"/>
      <c r="C106" s="281"/>
      <c r="D106" s="278"/>
      <c r="E106" s="279"/>
      <c r="F106" s="280"/>
      <c r="G106" s="282"/>
      <c r="H106" s="276"/>
      <c r="I106" s="276"/>
      <c r="J106" s="78">
        <f t="shared" si="64"/>
        <v>0</v>
      </c>
      <c r="K106" s="78">
        <f t="shared" si="65"/>
        <v>0</v>
      </c>
      <c r="N106" s="105"/>
    </row>
    <row r="107" spans="1:14" s="72" customFormat="1" ht="30" customHeight="1" x14ac:dyDescent="0.2">
      <c r="A107" s="244"/>
      <c r="B107" s="244"/>
      <c r="C107" s="281"/>
      <c r="D107" s="278"/>
      <c r="E107" s="279"/>
      <c r="F107" s="280"/>
      <c r="G107" s="282"/>
      <c r="H107" s="276"/>
      <c r="I107" s="276"/>
      <c r="J107" s="78">
        <f t="shared" si="64"/>
        <v>0</v>
      </c>
      <c r="K107" s="78">
        <f t="shared" si="65"/>
        <v>0</v>
      </c>
      <c r="N107" s="105"/>
    </row>
    <row r="108" spans="1:14" s="72" customFormat="1" ht="30" customHeight="1" x14ac:dyDescent="0.2">
      <c r="A108" s="244"/>
      <c r="B108" s="244"/>
      <c r="C108" s="281"/>
      <c r="D108" s="278"/>
      <c r="E108" s="279"/>
      <c r="F108" s="280"/>
      <c r="G108" s="282"/>
      <c r="H108" s="276"/>
      <c r="I108" s="276"/>
      <c r="J108" s="78">
        <f t="shared" si="64"/>
        <v>0</v>
      </c>
      <c r="K108" s="78">
        <f t="shared" si="65"/>
        <v>0</v>
      </c>
      <c r="N108" s="105"/>
    </row>
    <row r="109" spans="1:14" s="72" customFormat="1" ht="30" customHeight="1" x14ac:dyDescent="0.2">
      <c r="A109" s="244"/>
      <c r="B109" s="244"/>
      <c r="C109" s="281"/>
      <c r="D109" s="278"/>
      <c r="E109" s="279"/>
      <c r="F109" s="280"/>
      <c r="G109" s="282"/>
      <c r="H109" s="276"/>
      <c r="I109" s="276"/>
      <c r="J109" s="78">
        <f t="shared" si="64"/>
        <v>0</v>
      </c>
      <c r="K109" s="78">
        <f t="shared" si="65"/>
        <v>0</v>
      </c>
      <c r="N109" s="105"/>
    </row>
    <row r="110" spans="1:14" s="72" customFormat="1" ht="31.5" customHeight="1" x14ac:dyDescent="0.2">
      <c r="A110" s="244"/>
      <c r="B110" s="244"/>
      <c r="C110" s="281"/>
      <c r="D110" s="278"/>
      <c r="E110" s="279"/>
      <c r="F110" s="280"/>
      <c r="G110" s="282"/>
      <c r="H110" s="276"/>
      <c r="I110" s="276"/>
      <c r="J110" s="78">
        <f t="shared" si="62"/>
        <v>0</v>
      </c>
      <c r="K110" s="78">
        <f t="shared" si="63"/>
        <v>0</v>
      </c>
      <c r="N110" s="106"/>
    </row>
    <row r="111" spans="1:14" s="72" customFormat="1" ht="29.25" customHeight="1" x14ac:dyDescent="0.2">
      <c r="A111" s="244"/>
      <c r="B111" s="244"/>
      <c r="C111" s="281"/>
      <c r="D111" s="278"/>
      <c r="E111" s="279"/>
      <c r="F111" s="280"/>
      <c r="G111" s="283"/>
      <c r="H111" s="276"/>
      <c r="I111" s="276"/>
      <c r="J111" s="78">
        <f t="shared" si="62"/>
        <v>0</v>
      </c>
      <c r="K111" s="78">
        <f t="shared" si="63"/>
        <v>0</v>
      </c>
    </row>
    <row r="112" spans="1:14" s="72" customFormat="1" ht="30" customHeight="1" x14ac:dyDescent="0.2">
      <c r="A112" s="244"/>
      <c r="B112" s="244"/>
      <c r="C112" s="281"/>
      <c r="D112" s="278"/>
      <c r="E112" s="279"/>
      <c r="F112" s="280"/>
      <c r="G112" s="282"/>
      <c r="H112" s="276"/>
      <c r="I112" s="276"/>
      <c r="J112" s="78">
        <f t="shared" si="62"/>
        <v>0</v>
      </c>
      <c r="K112" s="78">
        <f t="shared" si="63"/>
        <v>0</v>
      </c>
    </row>
    <row r="113" spans="1:16" s="72" customFormat="1" ht="22.5" customHeight="1" x14ac:dyDescent="0.2">
      <c r="A113" s="244"/>
      <c r="B113" s="244"/>
      <c r="C113" s="281"/>
      <c r="D113" s="278"/>
      <c r="E113" s="279"/>
      <c r="F113" s="280"/>
      <c r="G113" s="283"/>
      <c r="H113" s="277"/>
      <c r="I113" s="277"/>
      <c r="J113" s="78">
        <f t="shared" si="62"/>
        <v>0</v>
      </c>
      <c r="K113" s="78">
        <f t="shared" si="63"/>
        <v>0</v>
      </c>
    </row>
    <row r="114" spans="1:16" s="72" customFormat="1" ht="36" customHeight="1" x14ac:dyDescent="0.2">
      <c r="A114" s="244"/>
      <c r="B114" s="244"/>
      <c r="C114" s="281"/>
      <c r="D114" s="278"/>
      <c r="E114" s="279"/>
      <c r="F114" s="280"/>
      <c r="G114" s="282"/>
      <c r="H114" s="277"/>
      <c r="I114" s="277"/>
      <c r="J114" s="78">
        <f t="shared" si="62"/>
        <v>0</v>
      </c>
      <c r="K114" s="78">
        <f t="shared" si="63"/>
        <v>0</v>
      </c>
    </row>
    <row r="115" spans="1:16" s="72" customFormat="1" ht="28.5" customHeight="1" x14ac:dyDescent="0.2">
      <c r="A115" s="244"/>
      <c r="B115" s="244"/>
      <c r="C115" s="281"/>
      <c r="D115" s="278"/>
      <c r="E115" s="279"/>
      <c r="F115" s="280"/>
      <c r="G115" s="282"/>
      <c r="H115" s="277"/>
      <c r="I115" s="277"/>
      <c r="J115" s="78">
        <f t="shared" si="62"/>
        <v>0</v>
      </c>
      <c r="K115" s="78">
        <f t="shared" si="63"/>
        <v>0</v>
      </c>
    </row>
    <row r="116" spans="1:16" s="72" customFormat="1" ht="33" customHeight="1" x14ac:dyDescent="0.2">
      <c r="A116" s="244"/>
      <c r="B116" s="244"/>
      <c r="C116" s="281"/>
      <c r="D116" s="278"/>
      <c r="E116" s="279"/>
      <c r="F116" s="280"/>
      <c r="G116" s="282"/>
      <c r="H116" s="277"/>
      <c r="I116" s="277"/>
      <c r="J116" s="78">
        <f t="shared" si="62"/>
        <v>0</v>
      </c>
      <c r="K116" s="78">
        <f t="shared" si="63"/>
        <v>0</v>
      </c>
    </row>
    <row r="117" spans="1:16" s="72" customFormat="1" ht="27" customHeight="1" x14ac:dyDescent="0.2">
      <c r="A117" s="244"/>
      <c r="B117" s="244"/>
      <c r="C117" s="281"/>
      <c r="D117" s="278"/>
      <c r="E117" s="279"/>
      <c r="F117" s="280"/>
      <c r="G117" s="283"/>
      <c r="H117" s="276"/>
      <c r="I117" s="276"/>
      <c r="J117" s="78">
        <f t="shared" si="62"/>
        <v>0</v>
      </c>
      <c r="K117" s="78">
        <f t="shared" si="63"/>
        <v>0</v>
      </c>
    </row>
    <row r="118" spans="1:16" s="72" customFormat="1" ht="27" customHeight="1" x14ac:dyDescent="0.2">
      <c r="A118" s="244"/>
      <c r="B118" s="244"/>
      <c r="C118" s="281"/>
      <c r="D118" s="278"/>
      <c r="E118" s="279"/>
      <c r="F118" s="280"/>
      <c r="G118" s="283"/>
      <c r="H118" s="276"/>
      <c r="I118" s="276"/>
      <c r="J118" s="78">
        <f t="shared" si="62"/>
        <v>0</v>
      </c>
      <c r="K118" s="78">
        <f t="shared" si="63"/>
        <v>0</v>
      </c>
    </row>
    <row r="119" spans="1:16" s="72" customFormat="1" ht="21" customHeight="1" x14ac:dyDescent="0.2">
      <c r="A119" s="256" t="s">
        <v>194</v>
      </c>
      <c r="B119" s="257"/>
      <c r="C119" s="257"/>
      <c r="D119" s="257"/>
      <c r="E119" s="257"/>
      <c r="F119" s="257"/>
      <c r="G119" s="257"/>
      <c r="H119" s="257"/>
      <c r="I119" s="258"/>
      <c r="J119" s="79">
        <f>+SUM(J101:J118)</f>
        <v>0</v>
      </c>
      <c r="K119" s="79">
        <f>+SUM(K101:K118)</f>
        <v>0</v>
      </c>
    </row>
    <row r="120" spans="1:16" s="72" customFormat="1" ht="21" customHeight="1" x14ac:dyDescent="0.2">
      <c r="A120" s="256" t="s">
        <v>182</v>
      </c>
      <c r="B120" s="257"/>
      <c r="C120" s="257"/>
      <c r="D120" s="257"/>
      <c r="E120" s="257"/>
      <c r="F120" s="257"/>
      <c r="G120" s="257"/>
      <c r="H120" s="257"/>
      <c r="I120" s="258"/>
      <c r="J120" s="259">
        <f>J119+K119</f>
        <v>0</v>
      </c>
      <c r="K120" s="260"/>
    </row>
    <row r="121" spans="1:16" s="72" customFormat="1" ht="15.75" customHeight="1" x14ac:dyDescent="0.2">
      <c r="A121" s="80"/>
      <c r="B121" s="81"/>
      <c r="C121" s="81"/>
      <c r="D121" s="82"/>
      <c r="E121" s="82"/>
      <c r="F121" s="82"/>
      <c r="G121" s="82"/>
      <c r="H121" s="82"/>
      <c r="I121" s="82"/>
      <c r="J121" s="82"/>
      <c r="K121" s="83"/>
    </row>
    <row r="122" spans="1:16" s="72" customFormat="1" ht="43.5" customHeight="1" x14ac:dyDescent="0.2">
      <c r="A122" s="80"/>
      <c r="B122" s="81"/>
      <c r="C122" s="81"/>
      <c r="D122" s="84" t="s">
        <v>183</v>
      </c>
      <c r="E122" s="84" t="s">
        <v>184</v>
      </c>
      <c r="F122" s="84" t="s">
        <v>185</v>
      </c>
      <c r="G122" s="84" t="s">
        <v>186</v>
      </c>
      <c r="H122" s="82"/>
      <c r="I122" s="82"/>
      <c r="J122" s="82"/>
      <c r="K122" s="83"/>
    </row>
    <row r="123" spans="1:16" s="72" customFormat="1" ht="33" customHeight="1" x14ac:dyDescent="0.2">
      <c r="A123" s="80"/>
      <c r="B123" s="81"/>
      <c r="C123" s="81"/>
      <c r="D123" s="85">
        <f>+COUNTIF(C101:C118,"Charla diaria")</f>
        <v>0</v>
      </c>
      <c r="E123" s="85">
        <f>+COUNTIF(C101:C118,"Charla semanal")</f>
        <v>0</v>
      </c>
      <c r="F123" s="104">
        <f>+COUNTIF(C101:C118,"Capacitación específica")</f>
        <v>0</v>
      </c>
      <c r="G123" s="85">
        <f>+COUNTIF(C101:C118,"Inducción")</f>
        <v>0</v>
      </c>
      <c r="H123" s="82"/>
      <c r="I123" s="82"/>
      <c r="J123" s="82"/>
      <c r="K123" s="83"/>
    </row>
    <row r="124" spans="1:16" s="72" customFormat="1" ht="24.75" customHeight="1" x14ac:dyDescent="0.2">
      <c r="A124" s="80"/>
      <c r="B124" s="81"/>
      <c r="C124" s="81"/>
      <c r="D124" s="100"/>
      <c r="E124" s="100"/>
      <c r="F124" s="100"/>
      <c r="G124" s="100"/>
      <c r="H124" s="82"/>
      <c r="I124" s="82"/>
      <c r="J124" s="82"/>
      <c r="K124" s="83"/>
    </row>
    <row r="125" spans="1:16" ht="27" customHeight="1" x14ac:dyDescent="0.2">
      <c r="A125" s="221" t="s">
        <v>187</v>
      </c>
      <c r="B125" s="222"/>
      <c r="C125" s="222"/>
      <c r="D125" s="222"/>
      <c r="E125" s="222"/>
      <c r="F125" s="222"/>
      <c r="G125" s="222"/>
      <c r="H125" s="222"/>
      <c r="I125" s="222"/>
      <c r="J125" s="222"/>
      <c r="K125" s="223"/>
    </row>
    <row r="126" spans="1:16" ht="6.75" customHeight="1" x14ac:dyDescent="0.2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</row>
    <row r="127" spans="1:16" ht="27.6" customHeight="1" x14ac:dyDescent="0.2">
      <c r="A127" s="198" t="s">
        <v>198</v>
      </c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8"/>
      <c r="O127" s="44"/>
      <c r="P127" s="59"/>
    </row>
    <row r="128" spans="1:16" x14ac:dyDescent="0.2">
      <c r="A128" s="157" t="s">
        <v>41</v>
      </c>
      <c r="B128" s="157"/>
      <c r="C128" s="51" t="s">
        <v>42</v>
      </c>
      <c r="D128" s="52" t="s">
        <v>43</v>
      </c>
      <c r="E128" s="158" t="s">
        <v>44</v>
      </c>
      <c r="F128" s="158"/>
      <c r="G128" s="158"/>
      <c r="H128" s="158" t="s">
        <v>45</v>
      </c>
      <c r="I128" s="158"/>
      <c r="J128" s="158"/>
      <c r="K128" s="158"/>
      <c r="L128" s="49"/>
      <c r="M128" s="49"/>
      <c r="N128" s="50"/>
      <c r="O128" s="46"/>
      <c r="P128" s="61"/>
    </row>
    <row r="129" spans="1:16" ht="24.95" customHeight="1" x14ac:dyDescent="0.2">
      <c r="A129" s="171"/>
      <c r="B129" s="171"/>
      <c r="C129" s="54"/>
      <c r="D129" s="55"/>
      <c r="E129" s="145"/>
      <c r="F129" s="145"/>
      <c r="G129" s="145"/>
      <c r="H129" s="160"/>
      <c r="I129" s="160"/>
      <c r="J129" s="160"/>
      <c r="K129" s="160"/>
      <c r="L129" s="49"/>
      <c r="M129" s="49"/>
      <c r="N129" s="50"/>
      <c r="O129" s="46"/>
      <c r="P129" s="61"/>
    </row>
    <row r="130" spans="1:16" ht="24.95" customHeight="1" x14ac:dyDescent="0.2">
      <c r="A130" s="171"/>
      <c r="B130" s="171"/>
      <c r="C130" s="54"/>
      <c r="D130" s="55"/>
      <c r="E130" s="145"/>
      <c r="F130" s="145"/>
      <c r="G130" s="145"/>
      <c r="H130" s="160"/>
      <c r="I130" s="160"/>
      <c r="J130" s="160"/>
      <c r="K130" s="160"/>
      <c r="L130" s="49"/>
      <c r="M130" s="49"/>
      <c r="N130" s="50"/>
      <c r="O130" s="46"/>
      <c r="P130" s="61"/>
    </row>
    <row r="131" spans="1:16" ht="24.95" customHeight="1" x14ac:dyDescent="0.2">
      <c r="A131" s="171"/>
      <c r="B131" s="171"/>
      <c r="C131" s="54"/>
      <c r="D131" s="55"/>
      <c r="E131" s="145"/>
      <c r="F131" s="145"/>
      <c r="G131" s="145"/>
      <c r="H131" s="160"/>
      <c r="I131" s="160"/>
      <c r="J131" s="160"/>
      <c r="K131" s="160"/>
    </row>
    <row r="132" spans="1:16" ht="24.95" customHeight="1" x14ac:dyDescent="0.2">
      <c r="A132" s="198" t="s">
        <v>188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6" ht="24.95" customHeight="1" x14ac:dyDescent="0.2">
      <c r="A133" s="263" t="s">
        <v>171</v>
      </c>
      <c r="B133" s="264"/>
      <c r="C133" s="265"/>
      <c r="D133" s="108"/>
      <c r="E133" s="108"/>
      <c r="F133" s="108">
        <f t="shared" ref="F133:J133" si="66">F86</f>
        <v>46113</v>
      </c>
      <c r="G133" s="108">
        <f t="shared" si="66"/>
        <v>46114</v>
      </c>
      <c r="H133" s="108">
        <f t="shared" si="66"/>
        <v>46115</v>
      </c>
      <c r="I133" s="108">
        <f t="shared" si="66"/>
        <v>46116</v>
      </c>
      <c r="J133" s="108">
        <f t="shared" si="66"/>
        <v>46117</v>
      </c>
      <c r="K133" s="107" t="s">
        <v>173</v>
      </c>
    </row>
    <row r="134" spans="1:16" ht="24.95" customHeight="1" x14ac:dyDescent="0.2">
      <c r="A134" s="9">
        <v>1</v>
      </c>
      <c r="B134" s="118" t="s">
        <v>47</v>
      </c>
      <c r="C134" s="118"/>
      <c r="D134" s="89">
        <v>0</v>
      </c>
      <c r="E134" s="89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7">
        <f>SUM(F134:J134)</f>
        <v>0</v>
      </c>
    </row>
    <row r="135" spans="1:16" ht="24.95" customHeight="1" x14ac:dyDescent="0.2">
      <c r="A135" s="9">
        <v>2</v>
      </c>
      <c r="B135" s="118" t="s">
        <v>48</v>
      </c>
      <c r="C135" s="118"/>
      <c r="D135" s="115">
        <v>0</v>
      </c>
      <c r="E135" s="115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27">
        <f t="shared" ref="K135:K136" si="67">SUM(F135:J135)</f>
        <v>0</v>
      </c>
    </row>
    <row r="136" spans="1:16" ht="24.95" customHeight="1" x14ac:dyDescent="0.2">
      <c r="A136" s="9">
        <v>3</v>
      </c>
      <c r="B136" s="118" t="s">
        <v>49</v>
      </c>
      <c r="C136" s="118"/>
      <c r="D136" s="115">
        <v>0</v>
      </c>
      <c r="E136" s="115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27">
        <f t="shared" si="67"/>
        <v>0</v>
      </c>
    </row>
    <row r="137" spans="1:16" s="14" customFormat="1" ht="24.95" customHeight="1" x14ac:dyDescent="0.2">
      <c r="A137" s="127" t="s">
        <v>50</v>
      </c>
      <c r="B137" s="127"/>
      <c r="C137" s="127"/>
      <c r="D137" s="11">
        <f t="shared" ref="D137:H137" si="68">SUM(D134:D136)</f>
        <v>0</v>
      </c>
      <c r="E137" s="11">
        <f t="shared" si="68"/>
        <v>0</v>
      </c>
      <c r="F137" s="11">
        <f t="shared" si="68"/>
        <v>0</v>
      </c>
      <c r="G137" s="11">
        <f t="shared" si="68"/>
        <v>0</v>
      </c>
      <c r="H137" s="11">
        <f t="shared" si="68"/>
        <v>0</v>
      </c>
      <c r="I137" s="11">
        <f>SUM(I134:I136)</f>
        <v>0</v>
      </c>
      <c r="J137" s="11">
        <f t="shared" ref="J137" si="69">SUM(J134:J136)</f>
        <v>0</v>
      </c>
      <c r="K137" s="11">
        <f>SUM(K134:K136)</f>
        <v>0</v>
      </c>
      <c r="P137" s="57"/>
    </row>
    <row r="138" spans="1:16" ht="24.95" customHeight="1" x14ac:dyDescent="0.2">
      <c r="A138" s="198" t="s">
        <v>51</v>
      </c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6" ht="24.95" customHeight="1" x14ac:dyDescent="0.2">
      <c r="A139" s="263" t="s">
        <v>171</v>
      </c>
      <c r="B139" s="264"/>
      <c r="C139" s="265"/>
      <c r="D139" s="108"/>
      <c r="E139" s="108"/>
      <c r="F139" s="108">
        <f>F133</f>
        <v>46113</v>
      </c>
      <c r="G139" s="108">
        <f t="shared" ref="G139:J139" si="70">G133</f>
        <v>46114</v>
      </c>
      <c r="H139" s="108">
        <f t="shared" si="70"/>
        <v>46115</v>
      </c>
      <c r="I139" s="108">
        <f t="shared" si="70"/>
        <v>46116</v>
      </c>
      <c r="J139" s="108">
        <f t="shared" si="70"/>
        <v>46117</v>
      </c>
      <c r="K139" s="107" t="s">
        <v>173</v>
      </c>
    </row>
    <row r="140" spans="1:16" ht="24.95" customHeight="1" x14ac:dyDescent="0.2">
      <c r="A140" s="9">
        <v>4</v>
      </c>
      <c r="B140" s="226" t="s">
        <v>52</v>
      </c>
      <c r="C140" s="226"/>
      <c r="D140" s="115">
        <v>0</v>
      </c>
      <c r="E140" s="115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28">
        <f>SUM(F140:J140)</f>
        <v>0</v>
      </c>
    </row>
    <row r="141" spans="1:16" ht="24.95" customHeight="1" x14ac:dyDescent="0.2">
      <c r="A141" s="127" t="s">
        <v>53</v>
      </c>
      <c r="B141" s="127"/>
      <c r="C141" s="127"/>
      <c r="D141" s="11">
        <f t="shared" ref="D141:H141" si="71">SUM(D140:D140)</f>
        <v>0</v>
      </c>
      <c r="E141" s="11">
        <f t="shared" si="71"/>
        <v>0</v>
      </c>
      <c r="F141" s="11">
        <f t="shared" si="71"/>
        <v>0</v>
      </c>
      <c r="G141" s="11">
        <f t="shared" si="71"/>
        <v>0</v>
      </c>
      <c r="H141" s="11">
        <f t="shared" si="71"/>
        <v>0</v>
      </c>
      <c r="I141" s="11">
        <f>SUM(I140:I140)</f>
        <v>0</v>
      </c>
      <c r="J141" s="11">
        <f>SUM(J140:J140)</f>
        <v>0</v>
      </c>
      <c r="K141" s="11">
        <f>SUM(K140:K140)</f>
        <v>0</v>
      </c>
    </row>
    <row r="142" spans="1:16" ht="24.95" customHeight="1" x14ac:dyDescent="0.2">
      <c r="A142" s="198" t="s">
        <v>189</v>
      </c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6" ht="24.95" customHeight="1" x14ac:dyDescent="0.2">
      <c r="A143" s="263" t="s">
        <v>171</v>
      </c>
      <c r="B143" s="264"/>
      <c r="C143" s="265"/>
      <c r="D143" s="108"/>
      <c r="E143" s="108"/>
      <c r="F143" s="108">
        <f>F139</f>
        <v>46113</v>
      </c>
      <c r="G143" s="108">
        <f t="shared" ref="G143:J143" si="72">G139</f>
        <v>46114</v>
      </c>
      <c r="H143" s="108">
        <f t="shared" si="72"/>
        <v>46115</v>
      </c>
      <c r="I143" s="108">
        <f t="shared" si="72"/>
        <v>46116</v>
      </c>
      <c r="J143" s="108">
        <f t="shared" si="72"/>
        <v>46117</v>
      </c>
      <c r="K143" s="107" t="s">
        <v>173</v>
      </c>
    </row>
    <row r="144" spans="1:16" ht="24.95" customHeight="1" x14ac:dyDescent="0.2">
      <c r="A144" s="9">
        <v>5</v>
      </c>
      <c r="B144" s="118" t="s">
        <v>55</v>
      </c>
      <c r="C144" s="118"/>
      <c r="D144" s="115">
        <v>0</v>
      </c>
      <c r="E144" s="115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27">
        <f>SUM(F144:J144)</f>
        <v>0</v>
      </c>
    </row>
    <row r="145" spans="1:16" s="2" customFormat="1" ht="24.95" customHeight="1" x14ac:dyDescent="0.2">
      <c r="A145" s="9">
        <v>6</v>
      </c>
      <c r="B145" s="200" t="s">
        <v>56</v>
      </c>
      <c r="C145" s="201"/>
      <c r="D145" s="115">
        <v>0</v>
      </c>
      <c r="E145" s="115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27">
        <f>SUM(F145:J145)</f>
        <v>0</v>
      </c>
      <c r="P145" s="3"/>
    </row>
    <row r="146" spans="1:16" ht="24.95" customHeight="1" x14ac:dyDescent="0.2">
      <c r="A146" s="127" t="s">
        <v>57</v>
      </c>
      <c r="B146" s="127"/>
      <c r="C146" s="127"/>
      <c r="D146" s="12">
        <f t="shared" ref="D146:H146" si="73">SUM(D144:D145)</f>
        <v>0</v>
      </c>
      <c r="E146" s="12">
        <f t="shared" si="73"/>
        <v>0</v>
      </c>
      <c r="F146" s="12">
        <f t="shared" si="73"/>
        <v>0</v>
      </c>
      <c r="G146" s="12">
        <f t="shared" si="73"/>
        <v>0</v>
      </c>
      <c r="H146" s="12">
        <f t="shared" si="73"/>
        <v>0</v>
      </c>
      <c r="I146" s="12">
        <f t="shared" ref="I146" si="74">SUM(I144:I145)</f>
        <v>0</v>
      </c>
      <c r="J146" s="12">
        <f t="shared" ref="J146" si="75">SUM(J144:J145)</f>
        <v>0</v>
      </c>
      <c r="K146" s="109">
        <f>SUM(K144:K145)</f>
        <v>0</v>
      </c>
    </row>
    <row r="147" spans="1:16" ht="99.75" customHeight="1" x14ac:dyDescent="0.2">
      <c r="A147" s="26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8"/>
    </row>
    <row r="148" spans="1:16" ht="116.25" customHeight="1" x14ac:dyDescent="0.2">
      <c r="A148" s="269"/>
      <c r="B148" s="270"/>
      <c r="C148" s="270"/>
      <c r="D148" s="270"/>
      <c r="E148" s="270"/>
      <c r="F148" s="270"/>
      <c r="G148" s="270"/>
      <c r="H148" s="270"/>
      <c r="I148" s="270"/>
      <c r="J148" s="270"/>
      <c r="K148" s="271"/>
    </row>
    <row r="149" spans="1:16" ht="111" customHeight="1" x14ac:dyDescent="0.2">
      <c r="A149" s="269"/>
      <c r="B149" s="270"/>
      <c r="C149" s="270"/>
      <c r="D149" s="270"/>
      <c r="E149" s="270"/>
      <c r="F149" s="270"/>
      <c r="G149" s="270"/>
      <c r="H149" s="270"/>
      <c r="I149" s="270"/>
      <c r="J149" s="270"/>
      <c r="K149" s="271"/>
    </row>
    <row r="150" spans="1:16" ht="152.25" customHeight="1" x14ac:dyDescent="0.2">
      <c r="A150" s="269"/>
      <c r="B150" s="270"/>
      <c r="C150" s="270"/>
      <c r="D150" s="270"/>
      <c r="E150" s="270"/>
      <c r="F150" s="270"/>
      <c r="G150" s="270"/>
      <c r="H150" s="270"/>
      <c r="I150" s="270"/>
      <c r="J150" s="270"/>
      <c r="K150" s="271"/>
    </row>
    <row r="151" spans="1:16" ht="116.25" customHeight="1" x14ac:dyDescent="0.2">
      <c r="A151" s="246"/>
      <c r="B151" s="247"/>
      <c r="C151" s="247"/>
      <c r="D151" s="247"/>
      <c r="E151" s="247"/>
      <c r="F151" s="247"/>
      <c r="G151" s="247"/>
      <c r="H151" s="247"/>
      <c r="I151" s="247"/>
      <c r="J151" s="247"/>
      <c r="K151" s="248"/>
    </row>
    <row r="152" spans="1:16" ht="27" customHeight="1" x14ac:dyDescent="0.2">
      <c r="A152" s="198" t="s">
        <v>190</v>
      </c>
      <c r="B152" s="198"/>
      <c r="C152" s="198"/>
      <c r="D152" s="198"/>
      <c r="E152" s="198"/>
      <c r="F152" s="198"/>
      <c r="G152" s="198"/>
      <c r="H152" s="198"/>
      <c r="I152" s="198"/>
      <c r="J152" s="198"/>
      <c r="K152" s="199"/>
    </row>
    <row r="153" spans="1:16" ht="24.95" customHeight="1" x14ac:dyDescent="0.2">
      <c r="A153" s="272" t="s">
        <v>191</v>
      </c>
      <c r="B153" s="273"/>
      <c r="C153" s="274"/>
      <c r="D153" s="112"/>
      <c r="E153" s="112"/>
      <c r="F153" s="112">
        <f t="shared" ref="F153:J153" si="76">F143</f>
        <v>46113</v>
      </c>
      <c r="G153" s="112">
        <f t="shared" si="76"/>
        <v>46114</v>
      </c>
      <c r="H153" s="112">
        <f t="shared" si="76"/>
        <v>46115</v>
      </c>
      <c r="I153" s="112">
        <f t="shared" si="76"/>
        <v>46116</v>
      </c>
      <c r="J153" s="112">
        <f t="shared" si="76"/>
        <v>46117</v>
      </c>
      <c r="K153" s="111" t="s">
        <v>173</v>
      </c>
    </row>
    <row r="154" spans="1:16" ht="24.95" customHeight="1" x14ac:dyDescent="0.2">
      <c r="A154" s="9">
        <v>1</v>
      </c>
      <c r="B154" s="118" t="s">
        <v>59</v>
      </c>
      <c r="C154" s="118"/>
      <c r="D154" s="115">
        <v>0</v>
      </c>
      <c r="E154" s="115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27">
        <f>SUM(D154:J154)</f>
        <v>0</v>
      </c>
    </row>
    <row r="155" spans="1:16" s="13" customFormat="1" ht="24.95" customHeight="1" x14ac:dyDescent="0.2">
      <c r="A155" s="9">
        <v>2</v>
      </c>
      <c r="B155" s="118" t="s">
        <v>60</v>
      </c>
      <c r="C155" s="118"/>
      <c r="D155" s="115">
        <v>0</v>
      </c>
      <c r="E155" s="115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27">
        <f>SUM(D155:J155)</f>
        <v>0</v>
      </c>
    </row>
    <row r="156" spans="1:16" s="13" customFormat="1" ht="24.95" customHeight="1" x14ac:dyDescent="0.2">
      <c r="A156" s="9">
        <v>3</v>
      </c>
      <c r="B156" s="118" t="s">
        <v>61</v>
      </c>
      <c r="C156" s="118"/>
      <c r="D156" s="115">
        <v>0</v>
      </c>
      <c r="E156" s="115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27">
        <f>SUM(D156:J156)</f>
        <v>0</v>
      </c>
    </row>
    <row r="157" spans="1:16" ht="24.95" customHeight="1" x14ac:dyDescent="0.2">
      <c r="A157" s="9">
        <v>4</v>
      </c>
      <c r="B157" s="118" t="s">
        <v>62</v>
      </c>
      <c r="C157" s="118"/>
      <c r="D157" s="115">
        <v>0</v>
      </c>
      <c r="E157" s="115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27">
        <f>SUM(D157:J157)</f>
        <v>0</v>
      </c>
    </row>
    <row r="158" spans="1:16" ht="27.75" customHeight="1" x14ac:dyDescent="0.2">
      <c r="A158" s="127" t="s">
        <v>63</v>
      </c>
      <c r="B158" s="127"/>
      <c r="C158" s="127"/>
      <c r="D158" s="11">
        <f t="shared" ref="D158:H158" si="77">D154+D156</f>
        <v>0</v>
      </c>
      <c r="E158" s="11">
        <f t="shared" si="77"/>
        <v>0</v>
      </c>
      <c r="F158" s="11">
        <f t="shared" si="77"/>
        <v>0</v>
      </c>
      <c r="G158" s="11">
        <f t="shared" si="77"/>
        <v>0</v>
      </c>
      <c r="H158" s="11">
        <f t="shared" si="77"/>
        <v>0</v>
      </c>
      <c r="I158" s="11">
        <f t="shared" ref="I158:K158" si="78">I154+I156</f>
        <v>0</v>
      </c>
      <c r="J158" s="11">
        <f t="shared" si="78"/>
        <v>0</v>
      </c>
      <c r="K158" s="11">
        <f t="shared" si="78"/>
        <v>0</v>
      </c>
    </row>
    <row r="159" spans="1:16" ht="29.25" customHeight="1" x14ac:dyDescent="0.2">
      <c r="A159" s="230" t="s">
        <v>64</v>
      </c>
      <c r="B159" s="230"/>
      <c r="C159" s="230"/>
      <c r="D159" s="11">
        <f t="shared" ref="D159:H159" si="79">D155+D157</f>
        <v>0</v>
      </c>
      <c r="E159" s="11">
        <f t="shared" si="79"/>
        <v>0</v>
      </c>
      <c r="F159" s="11">
        <f t="shared" si="79"/>
        <v>0</v>
      </c>
      <c r="G159" s="11">
        <f t="shared" si="79"/>
        <v>0</v>
      </c>
      <c r="H159" s="11">
        <f t="shared" si="79"/>
        <v>0</v>
      </c>
      <c r="I159" s="11">
        <f>I155+I157</f>
        <v>0</v>
      </c>
      <c r="J159" s="11">
        <f t="shared" ref="J159:K159" si="80">J155+J157</f>
        <v>0</v>
      </c>
      <c r="K159" s="11">
        <f t="shared" si="80"/>
        <v>0</v>
      </c>
    </row>
    <row r="160" spans="1:16" ht="38.25" customHeight="1" x14ac:dyDescent="0.2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</row>
    <row r="161" spans="1:11" ht="4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</row>
    <row r="162" spans="1:11" ht="53.2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</row>
    <row r="163" spans="1:11" ht="49.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</row>
    <row r="164" spans="1:11" ht="56.2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1:11" ht="50.2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</row>
    <row r="166" spans="1:11" ht="72.75" customHeight="1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</row>
    <row r="167" spans="1:11" ht="27" customHeight="1" x14ac:dyDescent="0.2">
      <c r="A167" s="221" t="s">
        <v>199</v>
      </c>
      <c r="B167" s="222"/>
      <c r="C167" s="222"/>
      <c r="D167" s="222"/>
      <c r="E167" s="222"/>
      <c r="F167" s="222"/>
      <c r="G167" s="222"/>
      <c r="H167" s="222"/>
      <c r="I167" s="222"/>
      <c r="J167" s="222"/>
      <c r="K167" s="223"/>
    </row>
    <row r="168" spans="1:11" ht="9" customHeight="1" x14ac:dyDescent="0.2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3"/>
    </row>
    <row r="169" spans="1:11" ht="24.95" customHeight="1" x14ac:dyDescent="0.2">
      <c r="A169" s="227" t="s">
        <v>65</v>
      </c>
      <c r="B169" s="228"/>
      <c r="C169" s="228"/>
      <c r="D169" s="228"/>
      <c r="E169" s="228"/>
      <c r="F169" s="228"/>
      <c r="G169" s="228"/>
      <c r="H169" s="228"/>
      <c r="I169" s="228"/>
      <c r="J169" s="228"/>
      <c r="K169" s="229"/>
    </row>
    <row r="170" spans="1:11" ht="24.95" customHeight="1" x14ac:dyDescent="0.2">
      <c r="A170" s="255" t="s">
        <v>171</v>
      </c>
      <c r="B170" s="255"/>
      <c r="C170" s="255"/>
      <c r="D170" s="87"/>
      <c r="E170" s="87"/>
      <c r="F170" s="87">
        <f t="shared" ref="F170:J170" si="81">F153</f>
        <v>46113</v>
      </c>
      <c r="G170" s="87">
        <f t="shared" si="81"/>
        <v>46114</v>
      </c>
      <c r="H170" s="87">
        <f t="shared" si="81"/>
        <v>46115</v>
      </c>
      <c r="I170" s="87">
        <f t="shared" si="81"/>
        <v>46116</v>
      </c>
      <c r="J170" s="87">
        <f t="shared" si="81"/>
        <v>46117</v>
      </c>
      <c r="K170" s="86" t="s">
        <v>173</v>
      </c>
    </row>
    <row r="171" spans="1:11" ht="24.95" customHeight="1" x14ac:dyDescent="0.2">
      <c r="A171" s="9">
        <v>1</v>
      </c>
      <c r="B171" s="220" t="s">
        <v>66</v>
      </c>
      <c r="C171" s="220"/>
      <c r="D171" s="116">
        <v>0</v>
      </c>
      <c r="E171" s="116">
        <v>0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4">
        <f>SUM(D171:J171)</f>
        <v>0</v>
      </c>
    </row>
    <row r="172" spans="1:11" ht="24.95" customHeight="1" x14ac:dyDescent="0.2">
      <c r="A172" s="9">
        <v>2</v>
      </c>
      <c r="B172" s="220" t="s">
        <v>67</v>
      </c>
      <c r="C172" s="220"/>
      <c r="D172" s="116">
        <v>0</v>
      </c>
      <c r="E172" s="116">
        <v>0</v>
      </c>
      <c r="F172" s="113">
        <v>0</v>
      </c>
      <c r="G172" s="113">
        <v>0</v>
      </c>
      <c r="H172" s="113">
        <v>0</v>
      </c>
      <c r="I172" s="113">
        <v>0</v>
      </c>
      <c r="J172" s="113">
        <v>0</v>
      </c>
      <c r="K172" s="114">
        <f>SUM(D172:J172)</f>
        <v>0</v>
      </c>
    </row>
    <row r="173" spans="1:11" ht="24.95" customHeight="1" x14ac:dyDescent="0.2">
      <c r="A173" s="9">
        <v>3</v>
      </c>
      <c r="B173" s="184" t="s">
        <v>68</v>
      </c>
      <c r="C173" s="184"/>
      <c r="D173" s="116">
        <v>0</v>
      </c>
      <c r="E173" s="116">
        <v>0</v>
      </c>
      <c r="F173" s="113">
        <v>0</v>
      </c>
      <c r="G173" s="113">
        <v>0</v>
      </c>
      <c r="H173" s="113">
        <v>0</v>
      </c>
      <c r="I173" s="113">
        <v>0</v>
      </c>
      <c r="J173" s="113">
        <v>0</v>
      </c>
      <c r="K173" s="114">
        <f t="shared" ref="K173:K175" si="82">SUM(D173:J173)</f>
        <v>0</v>
      </c>
    </row>
    <row r="174" spans="1:11" ht="24.95" customHeight="1" x14ac:dyDescent="0.2">
      <c r="A174" s="9">
        <v>4</v>
      </c>
      <c r="B174" s="184" t="s">
        <v>69</v>
      </c>
      <c r="C174" s="184"/>
      <c r="D174" s="116">
        <v>0</v>
      </c>
      <c r="E174" s="116">
        <v>0</v>
      </c>
      <c r="F174" s="113">
        <v>0</v>
      </c>
      <c r="G174" s="113">
        <v>0</v>
      </c>
      <c r="H174" s="113">
        <v>0</v>
      </c>
      <c r="I174" s="113">
        <v>0</v>
      </c>
      <c r="J174" s="113">
        <v>0</v>
      </c>
      <c r="K174" s="114">
        <f t="shared" ref="K174" si="83">SUM(D174:J174)</f>
        <v>0</v>
      </c>
    </row>
    <row r="175" spans="1:11" ht="24.95" customHeight="1" x14ac:dyDescent="0.2">
      <c r="A175" s="9">
        <v>5</v>
      </c>
      <c r="B175" s="184" t="s">
        <v>70</v>
      </c>
      <c r="C175" s="184"/>
      <c r="D175" s="116">
        <v>0</v>
      </c>
      <c r="E175" s="116">
        <v>0</v>
      </c>
      <c r="F175" s="113">
        <v>0</v>
      </c>
      <c r="G175" s="113">
        <v>0</v>
      </c>
      <c r="H175" s="113">
        <v>0</v>
      </c>
      <c r="I175" s="113">
        <v>0</v>
      </c>
      <c r="J175" s="113">
        <v>0</v>
      </c>
      <c r="K175" s="114">
        <f t="shared" si="82"/>
        <v>0</v>
      </c>
    </row>
    <row r="176" spans="1:11" ht="24.95" customHeight="1" x14ac:dyDescent="0.2">
      <c r="A176" s="9">
        <v>6</v>
      </c>
      <c r="B176" s="184" t="s">
        <v>71</v>
      </c>
      <c r="C176" s="184"/>
      <c r="D176" s="116">
        <v>0</v>
      </c>
      <c r="E176" s="116">
        <v>0</v>
      </c>
      <c r="F176" s="113">
        <v>0</v>
      </c>
      <c r="G176" s="113">
        <v>0</v>
      </c>
      <c r="H176" s="113">
        <v>0</v>
      </c>
      <c r="I176" s="113">
        <v>0</v>
      </c>
      <c r="J176" s="113">
        <v>0</v>
      </c>
      <c r="K176" s="114">
        <f t="shared" ref="K176" si="84">SUM(D176:J176)</f>
        <v>0</v>
      </c>
    </row>
    <row r="177" spans="1:16" ht="24.95" customHeight="1" x14ac:dyDescent="0.2">
      <c r="A177" s="9">
        <v>7</v>
      </c>
      <c r="B177" s="184" t="s">
        <v>72</v>
      </c>
      <c r="C177" s="184"/>
      <c r="D177" s="116">
        <v>0</v>
      </c>
      <c r="E177" s="116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4">
        <f>SUM(D177:J177)</f>
        <v>0</v>
      </c>
    </row>
    <row r="178" spans="1:16" ht="24.95" customHeight="1" x14ac:dyDescent="0.2">
      <c r="A178" s="9">
        <v>8</v>
      </c>
      <c r="B178" s="184" t="s">
        <v>73</v>
      </c>
      <c r="C178" s="184"/>
      <c r="D178" s="116">
        <v>0</v>
      </c>
      <c r="E178" s="116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4">
        <f>SUM(D178:J178)</f>
        <v>0</v>
      </c>
    </row>
    <row r="179" spans="1:16" ht="24.95" customHeight="1" x14ac:dyDescent="0.2">
      <c r="A179" s="9">
        <v>9</v>
      </c>
      <c r="B179" s="118"/>
      <c r="C179" s="118"/>
      <c r="D179" s="17"/>
      <c r="E179" s="17"/>
      <c r="F179" s="17"/>
      <c r="G179" s="17"/>
      <c r="H179" s="17"/>
      <c r="I179" s="17"/>
      <c r="J179" s="17"/>
      <c r="K179" s="29"/>
    </row>
    <row r="180" spans="1:16" s="6" customFormat="1" ht="24.95" customHeight="1" x14ac:dyDescent="0.2">
      <c r="A180" s="9">
        <v>10</v>
      </c>
      <c r="B180" s="118"/>
      <c r="C180" s="118"/>
      <c r="D180" s="17"/>
      <c r="E180" s="17"/>
      <c r="F180" s="17"/>
      <c r="G180" s="17"/>
      <c r="H180" s="17"/>
      <c r="I180" s="17"/>
      <c r="J180" s="17"/>
      <c r="K180" s="29"/>
    </row>
    <row r="181" spans="1:16" s="6" customFormat="1" ht="24.95" customHeight="1" x14ac:dyDescent="0.2">
      <c r="A181" s="9">
        <v>11</v>
      </c>
      <c r="B181" s="118"/>
      <c r="C181" s="118"/>
      <c r="D181" s="17"/>
      <c r="E181" s="17"/>
      <c r="F181" s="17"/>
      <c r="G181" s="17"/>
      <c r="H181" s="17"/>
      <c r="I181" s="17"/>
      <c r="J181" s="17"/>
      <c r="K181" s="29"/>
    </row>
    <row r="182" spans="1:16" ht="24.95" customHeight="1" x14ac:dyDescent="0.2">
      <c r="A182" s="9">
        <v>12</v>
      </c>
      <c r="B182" s="118"/>
      <c r="C182" s="118"/>
      <c r="D182" s="17"/>
      <c r="E182" s="17"/>
      <c r="F182" s="17"/>
      <c r="G182" s="17"/>
      <c r="H182" s="17"/>
      <c r="I182" s="17"/>
      <c r="J182" s="17"/>
      <c r="K182" s="29"/>
    </row>
    <row r="183" spans="1:16" ht="24.95" customHeight="1" x14ac:dyDescent="0.2">
      <c r="A183" s="230" t="s">
        <v>74</v>
      </c>
      <c r="B183" s="230"/>
      <c r="C183" s="230"/>
      <c r="D183" s="11">
        <f>D171+D173+D175+D177+D179+D181</f>
        <v>0</v>
      </c>
      <c r="E183" s="11">
        <f t="shared" ref="E183:J183" si="85">E171+E173+E175+E177+E179+E181</f>
        <v>0</v>
      </c>
      <c r="F183" s="11">
        <f t="shared" si="85"/>
        <v>0</v>
      </c>
      <c r="G183" s="11">
        <f t="shared" si="85"/>
        <v>0</v>
      </c>
      <c r="H183" s="11">
        <f t="shared" si="85"/>
        <v>0</v>
      </c>
      <c r="I183" s="11">
        <f t="shared" si="85"/>
        <v>0</v>
      </c>
      <c r="J183" s="11">
        <f t="shared" si="85"/>
        <v>0</v>
      </c>
      <c r="K183" s="11">
        <f>K171+K173+K175+K177+K179+K181</f>
        <v>0</v>
      </c>
    </row>
    <row r="184" spans="1:16" ht="24.95" customHeight="1" x14ac:dyDescent="0.2">
      <c r="A184" s="230" t="s">
        <v>75</v>
      </c>
      <c r="B184" s="230"/>
      <c r="C184" s="230"/>
      <c r="D184" s="11">
        <f>D172+D174+D176+D178+D180+D182</f>
        <v>0</v>
      </c>
      <c r="E184" s="11">
        <f t="shared" ref="E184:J184" si="86">E172+E174+E176+E178+E180+E182</f>
        <v>0</v>
      </c>
      <c r="F184" s="11">
        <f t="shared" si="86"/>
        <v>0</v>
      </c>
      <c r="G184" s="11">
        <f t="shared" si="86"/>
        <v>0</v>
      </c>
      <c r="H184" s="11">
        <f t="shared" si="86"/>
        <v>0</v>
      </c>
      <c r="I184" s="11">
        <f t="shared" si="86"/>
        <v>0</v>
      </c>
      <c r="J184" s="11">
        <f t="shared" si="86"/>
        <v>0</v>
      </c>
      <c r="K184" s="11">
        <f t="shared" ref="K184" si="87">K172+K174+K176+K178+K180+K182</f>
        <v>0</v>
      </c>
    </row>
    <row r="185" spans="1:16" ht="24.95" customHeight="1" x14ac:dyDescent="0.2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</row>
    <row r="186" spans="1:16" ht="24.95" customHeight="1" x14ac:dyDescent="0.2">
      <c r="A186" s="227" t="s">
        <v>76</v>
      </c>
      <c r="B186" s="228"/>
      <c r="C186" s="228"/>
      <c r="D186" s="228"/>
      <c r="E186" s="228"/>
      <c r="F186" s="228"/>
      <c r="G186" s="228"/>
      <c r="H186" s="228"/>
      <c r="I186" s="228"/>
      <c r="J186" s="228"/>
      <c r="K186" s="229"/>
    </row>
    <row r="187" spans="1:16" ht="24.95" customHeight="1" x14ac:dyDescent="0.2">
      <c r="A187" s="255" t="s">
        <v>171</v>
      </c>
      <c r="B187" s="255"/>
      <c r="C187" s="255"/>
      <c r="D187" s="87"/>
      <c r="E187" s="87"/>
      <c r="F187" s="87">
        <f t="shared" ref="F187:J187" si="88">F170</f>
        <v>46113</v>
      </c>
      <c r="G187" s="87">
        <f t="shared" si="88"/>
        <v>46114</v>
      </c>
      <c r="H187" s="87">
        <f t="shared" si="88"/>
        <v>46115</v>
      </c>
      <c r="I187" s="87">
        <f t="shared" si="88"/>
        <v>46116</v>
      </c>
      <c r="J187" s="87">
        <f t="shared" si="88"/>
        <v>46117</v>
      </c>
      <c r="K187" s="86" t="s">
        <v>173</v>
      </c>
    </row>
    <row r="188" spans="1:16" ht="24.95" customHeight="1" x14ac:dyDescent="0.2">
      <c r="A188" s="9">
        <v>1</v>
      </c>
      <c r="B188" s="118" t="s">
        <v>77</v>
      </c>
      <c r="C188" s="118"/>
      <c r="D188" s="115">
        <v>0</v>
      </c>
      <c r="E188" s="115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29">
        <f>SUM(D188:J188)</f>
        <v>0</v>
      </c>
    </row>
    <row r="189" spans="1:16" ht="24.95" customHeight="1" x14ac:dyDescent="0.2">
      <c r="A189" s="9">
        <v>2</v>
      </c>
      <c r="B189" s="118" t="s">
        <v>78</v>
      </c>
      <c r="C189" s="118"/>
      <c r="D189" s="115">
        <v>0</v>
      </c>
      <c r="E189" s="115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29">
        <f>SUM(D189:J189)</f>
        <v>0</v>
      </c>
    </row>
    <row r="190" spans="1:16" ht="24.95" customHeight="1" x14ac:dyDescent="0.2">
      <c r="A190" s="9">
        <v>3</v>
      </c>
      <c r="B190" s="118" t="s">
        <v>79</v>
      </c>
      <c r="C190" s="118"/>
      <c r="D190" s="115">
        <v>0</v>
      </c>
      <c r="E190" s="115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29">
        <f>SUM(D190:J190)</f>
        <v>0</v>
      </c>
    </row>
    <row r="191" spans="1:16" s="40" customFormat="1" ht="24.95" customHeight="1" x14ac:dyDescent="0.2">
      <c r="A191" s="127" t="s">
        <v>80</v>
      </c>
      <c r="B191" s="127"/>
      <c r="C191" s="127"/>
      <c r="D191" s="12">
        <f>SUM(D188:D190)</f>
        <v>0</v>
      </c>
      <c r="E191" s="12">
        <f t="shared" ref="E191:H191" si="89">SUM(E188:E190)</f>
        <v>0</v>
      </c>
      <c r="F191" s="12">
        <f t="shared" si="89"/>
        <v>0</v>
      </c>
      <c r="G191" s="12">
        <f t="shared" si="89"/>
        <v>0</v>
      </c>
      <c r="H191" s="12">
        <f t="shared" si="89"/>
        <v>0</v>
      </c>
      <c r="I191" s="12">
        <f t="shared" ref="I191:K191" si="90">SUM(I188:I190)</f>
        <v>0</v>
      </c>
      <c r="J191" s="12">
        <f t="shared" si="90"/>
        <v>0</v>
      </c>
      <c r="K191" s="12">
        <f t="shared" si="90"/>
        <v>0</v>
      </c>
      <c r="O191" s="43"/>
      <c r="P191" s="58"/>
    </row>
    <row r="192" spans="1:16" s="40" customFormat="1" ht="24.95" customHeight="1" x14ac:dyDescent="0.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O192" s="43"/>
      <c r="P192" s="58"/>
    </row>
    <row r="193" spans="1:16" ht="24.95" customHeight="1" x14ac:dyDescent="0.2">
      <c r="A193" s="224" t="s">
        <v>85</v>
      </c>
      <c r="B193" s="224"/>
      <c r="C193" s="181" t="s">
        <v>86</v>
      </c>
      <c r="D193" s="181"/>
      <c r="E193" s="181"/>
      <c r="F193" s="181"/>
      <c r="G193" s="181"/>
      <c r="H193" s="181"/>
      <c r="I193" s="181"/>
      <c r="J193" s="181"/>
      <c r="K193" s="181"/>
    </row>
    <row r="194" spans="1:16" ht="24.95" customHeight="1" x14ac:dyDescent="0.2">
      <c r="A194" s="120">
        <v>1</v>
      </c>
      <c r="B194" s="120"/>
      <c r="C194" s="192"/>
      <c r="D194" s="225"/>
      <c r="E194" s="225"/>
      <c r="F194" s="225"/>
      <c r="G194" s="225"/>
      <c r="H194" s="225"/>
      <c r="I194" s="225"/>
      <c r="J194" s="225"/>
      <c r="K194" s="225"/>
    </row>
    <row r="195" spans="1:16" ht="24.95" customHeight="1" x14ac:dyDescent="0.2">
      <c r="A195" s="120">
        <v>2</v>
      </c>
      <c r="B195" s="120">
        <v>2</v>
      </c>
      <c r="C195" s="170"/>
      <c r="D195" s="171"/>
      <c r="E195" s="171"/>
      <c r="F195" s="171"/>
      <c r="G195" s="171"/>
      <c r="H195" s="171"/>
      <c r="I195" s="171"/>
      <c r="J195" s="171"/>
      <c r="K195" s="171"/>
    </row>
    <row r="196" spans="1:16" ht="24.95" customHeight="1" x14ac:dyDescent="0.2">
      <c r="A196" s="120">
        <v>3</v>
      </c>
      <c r="B196" s="120"/>
      <c r="C196" s="170"/>
      <c r="D196" s="171"/>
      <c r="E196" s="171"/>
      <c r="F196" s="171"/>
      <c r="G196" s="171"/>
      <c r="H196" s="171"/>
      <c r="I196" s="171"/>
      <c r="J196" s="171"/>
      <c r="K196" s="171"/>
    </row>
    <row r="197" spans="1:16" ht="24.95" customHeight="1" x14ac:dyDescent="0.2">
      <c r="A197" s="120">
        <v>4</v>
      </c>
      <c r="B197" s="120">
        <v>2</v>
      </c>
      <c r="C197" s="170"/>
      <c r="D197" s="171"/>
      <c r="E197" s="171"/>
      <c r="F197" s="171"/>
      <c r="G197" s="171"/>
      <c r="H197" s="171"/>
      <c r="I197" s="171"/>
      <c r="J197" s="171"/>
      <c r="K197" s="171"/>
    </row>
    <row r="198" spans="1:16" ht="24.95" customHeight="1" x14ac:dyDescent="0.2">
      <c r="A198" s="120">
        <v>5</v>
      </c>
      <c r="B198" s="120"/>
      <c r="C198" s="170"/>
      <c r="D198" s="171"/>
      <c r="E198" s="171"/>
      <c r="F198" s="171"/>
      <c r="G198" s="171"/>
      <c r="H198" s="171"/>
      <c r="I198" s="171"/>
      <c r="J198" s="171"/>
      <c r="K198" s="171"/>
    </row>
    <row r="199" spans="1:16" ht="24.95" customHeight="1" x14ac:dyDescent="0.2">
      <c r="A199" s="120">
        <v>6</v>
      </c>
      <c r="B199" s="120">
        <v>2</v>
      </c>
      <c r="C199" s="170"/>
      <c r="D199" s="171"/>
      <c r="E199" s="171"/>
      <c r="F199" s="171"/>
      <c r="G199" s="171"/>
      <c r="H199" s="171"/>
      <c r="I199" s="171"/>
      <c r="J199" s="171"/>
      <c r="K199" s="171"/>
    </row>
    <row r="200" spans="1:16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</row>
    <row r="201" spans="1:16" ht="24.95" customHeight="1" x14ac:dyDescent="0.2">
      <c r="A201" s="224" t="s">
        <v>85</v>
      </c>
      <c r="B201" s="224"/>
      <c r="C201" s="181" t="s">
        <v>87</v>
      </c>
      <c r="D201" s="181"/>
      <c r="E201" s="181"/>
      <c r="F201" s="181"/>
      <c r="G201" s="181"/>
      <c r="H201" s="181"/>
      <c r="I201" s="181"/>
      <c r="J201" s="181"/>
      <c r="K201" s="181"/>
    </row>
    <row r="202" spans="1:16" s="40" customFormat="1" ht="24.95" customHeight="1" x14ac:dyDescent="0.2">
      <c r="A202" s="120">
        <v>1</v>
      </c>
      <c r="B202" s="120"/>
      <c r="C202" s="192"/>
      <c r="D202" s="225"/>
      <c r="E202" s="225"/>
      <c r="F202" s="225"/>
      <c r="G202" s="225"/>
      <c r="H202" s="225"/>
      <c r="I202" s="225"/>
      <c r="J202" s="225"/>
      <c r="K202" s="225"/>
      <c r="P202" s="60"/>
    </row>
    <row r="203" spans="1:16" s="40" customFormat="1" ht="24.95" customHeight="1" x14ac:dyDescent="0.2">
      <c r="A203" s="120">
        <v>2</v>
      </c>
      <c r="B203" s="120">
        <v>2</v>
      </c>
      <c r="C203" s="170"/>
      <c r="D203" s="171"/>
      <c r="E203" s="171"/>
      <c r="F203" s="171"/>
      <c r="G203" s="171"/>
      <c r="H203" s="171"/>
      <c r="I203" s="171"/>
      <c r="J203" s="171"/>
      <c r="K203" s="171"/>
      <c r="P203" s="60"/>
    </row>
    <row r="204" spans="1:16" s="40" customFormat="1" ht="24.95" customHeight="1" x14ac:dyDescent="0.2">
      <c r="A204" s="120">
        <v>3</v>
      </c>
      <c r="B204" s="120"/>
      <c r="C204" s="170"/>
      <c r="D204" s="171"/>
      <c r="E204" s="171"/>
      <c r="F204" s="171"/>
      <c r="G204" s="171"/>
      <c r="H204" s="171"/>
      <c r="I204" s="171"/>
      <c r="J204" s="171"/>
      <c r="K204" s="171"/>
      <c r="P204" s="60"/>
    </row>
    <row r="205" spans="1:16" s="40" customFormat="1" ht="24.95" customHeight="1" x14ac:dyDescent="0.2">
      <c r="A205" s="120">
        <v>4</v>
      </c>
      <c r="B205" s="120">
        <v>2</v>
      </c>
      <c r="C205" s="170"/>
      <c r="D205" s="171"/>
      <c r="E205" s="171"/>
      <c r="F205" s="171"/>
      <c r="G205" s="171"/>
      <c r="H205" s="171"/>
      <c r="I205" s="171"/>
      <c r="J205" s="171"/>
      <c r="K205" s="171"/>
      <c r="P205" s="60"/>
    </row>
    <row r="206" spans="1:16" s="40" customFormat="1" ht="24.95" customHeight="1" x14ac:dyDescent="0.2">
      <c r="A206" s="120">
        <v>5</v>
      </c>
      <c r="B206" s="120"/>
      <c r="C206" s="170"/>
      <c r="D206" s="171"/>
      <c r="E206" s="171"/>
      <c r="F206" s="171"/>
      <c r="G206" s="171"/>
      <c r="H206" s="171"/>
      <c r="I206" s="171"/>
      <c r="J206" s="171"/>
      <c r="K206" s="171"/>
      <c r="P206" s="60"/>
    </row>
    <row r="207" spans="1:16" ht="24.95" customHeight="1" x14ac:dyDescent="0.2">
      <c r="A207" s="120">
        <v>6</v>
      </c>
      <c r="B207" s="120">
        <v>2</v>
      </c>
      <c r="C207" s="170"/>
      <c r="D207" s="171"/>
      <c r="E207" s="171"/>
      <c r="F207" s="171"/>
      <c r="G207" s="171"/>
      <c r="H207" s="171"/>
      <c r="I207" s="171"/>
      <c r="J207" s="171"/>
      <c r="K207" s="171"/>
    </row>
    <row r="208" spans="1:16" ht="15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</row>
    <row r="209" spans="1:11" ht="24.95" customHeight="1" x14ac:dyDescent="0.2">
      <c r="A209" s="181" t="s">
        <v>88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spans="1:11" ht="27.95" customHeight="1" x14ac:dyDescent="0.2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 spans="1:11" ht="27.95" customHeight="1" x14ac:dyDescent="0.2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 spans="1:11" ht="27.95" customHeight="1" x14ac:dyDescent="0.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 spans="1:11" ht="27.95" customHeight="1" x14ac:dyDescent="0.2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 spans="1:11" ht="27.9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</row>
    <row r="215" spans="1:11" ht="23.25" customHeight="1" x14ac:dyDescent="0.2">
      <c r="A215" s="188" t="s">
        <v>89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</row>
    <row r="216" spans="1:11" x14ac:dyDescent="0.2">
      <c r="A216" s="189"/>
      <c r="B216" s="189"/>
      <c r="C216" s="189"/>
      <c r="D216" s="189"/>
      <c r="E216" s="190"/>
      <c r="F216" s="190"/>
      <c r="G216" s="190"/>
      <c r="H216" s="190"/>
      <c r="I216" s="190"/>
      <c r="J216" s="190"/>
      <c r="K216" s="190"/>
    </row>
    <row r="217" spans="1:11" x14ac:dyDescent="0.2">
      <c r="A217" s="189"/>
      <c r="B217" s="189"/>
      <c r="C217" s="189"/>
      <c r="D217" s="189"/>
      <c r="E217" s="190"/>
      <c r="F217" s="190"/>
      <c r="G217" s="190"/>
      <c r="H217" s="190"/>
      <c r="I217" s="190"/>
      <c r="J217" s="190"/>
      <c r="K217" s="190"/>
    </row>
    <row r="218" spans="1:11" x14ac:dyDescent="0.2">
      <c r="A218" s="189"/>
      <c r="B218" s="189"/>
      <c r="C218" s="189"/>
      <c r="D218" s="189"/>
      <c r="E218" s="190"/>
      <c r="F218" s="190"/>
      <c r="G218" s="190"/>
      <c r="H218" s="190"/>
      <c r="I218" s="190"/>
      <c r="J218" s="190"/>
      <c r="K218" s="190"/>
    </row>
    <row r="219" spans="1:11" x14ac:dyDescent="0.2">
      <c r="A219" s="189"/>
      <c r="B219" s="189"/>
      <c r="C219" s="189"/>
      <c r="D219" s="189"/>
      <c r="E219" s="190"/>
      <c r="F219" s="190"/>
      <c r="G219" s="190"/>
      <c r="H219" s="190"/>
      <c r="I219" s="190"/>
      <c r="J219" s="190"/>
      <c r="K219" s="190"/>
    </row>
    <row r="220" spans="1:11" x14ac:dyDescent="0.2">
      <c r="A220" s="189"/>
      <c r="B220" s="189"/>
      <c r="C220" s="189"/>
      <c r="D220" s="189"/>
      <c r="E220" s="190"/>
      <c r="F220" s="190"/>
      <c r="G220" s="190"/>
      <c r="H220" s="190"/>
      <c r="I220" s="190"/>
      <c r="J220" s="190"/>
      <c r="K220" s="190"/>
    </row>
    <row r="221" spans="1:11" x14ac:dyDescent="0.2">
      <c r="A221" s="189"/>
      <c r="B221" s="189"/>
      <c r="C221" s="189"/>
      <c r="D221" s="189"/>
      <c r="E221" s="190"/>
      <c r="F221" s="190"/>
      <c r="G221" s="190"/>
      <c r="H221" s="190"/>
      <c r="I221" s="190"/>
      <c r="J221" s="190"/>
      <c r="K221" s="190"/>
    </row>
    <row r="222" spans="1:11" x14ac:dyDescent="0.2">
      <c r="A222" s="189"/>
      <c r="B222" s="189"/>
      <c r="C222" s="189"/>
      <c r="D222" s="189"/>
      <c r="E222" s="190"/>
      <c r="F222" s="190"/>
      <c r="G222" s="190"/>
      <c r="H222" s="190"/>
      <c r="I222" s="190"/>
      <c r="J222" s="190"/>
      <c r="K222" s="190"/>
    </row>
    <row r="223" spans="1:11" x14ac:dyDescent="0.2">
      <c r="A223" s="189"/>
      <c r="B223" s="189"/>
      <c r="C223" s="189"/>
      <c r="D223" s="189"/>
      <c r="E223" s="190"/>
      <c r="F223" s="190"/>
      <c r="G223" s="190"/>
      <c r="H223" s="190"/>
      <c r="I223" s="190"/>
      <c r="J223" s="190"/>
      <c r="K223" s="190"/>
    </row>
    <row r="224" spans="1:11" x14ac:dyDescent="0.2">
      <c r="A224" s="189"/>
      <c r="B224" s="189"/>
      <c r="C224" s="189"/>
      <c r="D224" s="189"/>
      <c r="E224" s="190"/>
      <c r="F224" s="190"/>
      <c r="G224" s="190"/>
      <c r="H224" s="190"/>
      <c r="I224" s="190"/>
      <c r="J224" s="190"/>
      <c r="K224" s="190"/>
    </row>
    <row r="225" spans="1:11" x14ac:dyDescent="0.2">
      <c r="A225" s="189"/>
      <c r="B225" s="189"/>
      <c r="C225" s="189"/>
      <c r="D225" s="189"/>
      <c r="E225" s="190"/>
      <c r="F225" s="190"/>
      <c r="G225" s="190"/>
      <c r="H225" s="190"/>
      <c r="I225" s="190"/>
      <c r="J225" s="190"/>
      <c r="K225" s="190"/>
    </row>
    <row r="226" spans="1:11" x14ac:dyDescent="0.2">
      <c r="A226" s="189"/>
      <c r="B226" s="189"/>
      <c r="C226" s="189"/>
      <c r="D226" s="189"/>
      <c r="E226" s="190"/>
      <c r="F226" s="190"/>
      <c r="G226" s="190"/>
      <c r="H226" s="190"/>
      <c r="I226" s="190"/>
      <c r="J226" s="190"/>
      <c r="K226" s="190"/>
    </row>
    <row r="227" spans="1:11" x14ac:dyDescent="0.2">
      <c r="A227" s="189"/>
      <c r="B227" s="189"/>
      <c r="C227" s="189"/>
      <c r="D227" s="189"/>
      <c r="E227" s="190"/>
      <c r="F227" s="190"/>
      <c r="G227" s="190"/>
      <c r="H227" s="190"/>
      <c r="I227" s="190"/>
      <c r="J227" s="190"/>
      <c r="K227" s="190"/>
    </row>
    <row r="228" spans="1:11" x14ac:dyDescent="0.2">
      <c r="A228" s="189"/>
      <c r="B228" s="189"/>
      <c r="C228" s="189"/>
      <c r="D228" s="189"/>
      <c r="E228" s="190"/>
      <c r="F228" s="190"/>
      <c r="G228" s="190"/>
      <c r="H228" s="190"/>
      <c r="I228" s="190"/>
      <c r="J228" s="190"/>
      <c r="K228" s="190"/>
    </row>
    <row r="229" spans="1:11" ht="36" customHeight="1" x14ac:dyDescent="0.2">
      <c r="A229" s="189"/>
      <c r="B229" s="189"/>
      <c r="C229" s="189"/>
      <c r="D229" s="189"/>
      <c r="E229" s="190"/>
      <c r="F229" s="190"/>
      <c r="G229" s="190"/>
      <c r="H229" s="190"/>
      <c r="I229" s="190"/>
      <c r="J229" s="190"/>
      <c r="K229" s="190"/>
    </row>
    <row r="230" spans="1:11" x14ac:dyDescent="0.2">
      <c r="A230" s="189"/>
      <c r="B230" s="189"/>
      <c r="C230" s="189"/>
      <c r="D230" s="189"/>
      <c r="E230" s="190"/>
      <c r="F230" s="190"/>
      <c r="G230" s="190"/>
      <c r="H230" s="190"/>
      <c r="I230" s="190"/>
      <c r="J230" s="190"/>
      <c r="K230" s="190"/>
    </row>
    <row r="231" spans="1:11" x14ac:dyDescent="0.2">
      <c r="A231" s="189"/>
      <c r="B231" s="189"/>
      <c r="C231" s="189"/>
      <c r="D231" s="189"/>
      <c r="E231" s="190"/>
      <c r="F231" s="190"/>
      <c r="G231" s="190"/>
      <c r="H231" s="190"/>
      <c r="I231" s="190"/>
      <c r="J231" s="190"/>
      <c r="K231" s="190"/>
    </row>
    <row r="232" spans="1:11" x14ac:dyDescent="0.2">
      <c r="A232" s="192"/>
      <c r="B232" s="192"/>
      <c r="C232" s="192"/>
      <c r="D232" s="192"/>
      <c r="E232" s="193"/>
      <c r="F232" s="194"/>
      <c r="G232" s="194"/>
      <c r="H232" s="194"/>
      <c r="I232" s="194"/>
      <c r="J232" s="194"/>
      <c r="K232" s="195"/>
    </row>
    <row r="233" spans="1:11" x14ac:dyDescent="0.2">
      <c r="A233" s="171"/>
      <c r="B233" s="171"/>
      <c r="C233" s="171"/>
      <c r="D233" s="171"/>
      <c r="E233" s="190"/>
      <c r="F233" s="190"/>
      <c r="G233" s="190"/>
      <c r="H233" s="190"/>
      <c r="I233" s="190"/>
      <c r="J233" s="190"/>
      <c r="K233" s="190"/>
    </row>
    <row r="234" spans="1:11" x14ac:dyDescent="0.2">
      <c r="A234" s="171"/>
      <c r="B234" s="171"/>
      <c r="C234" s="171"/>
      <c r="D234" s="171"/>
      <c r="E234" s="190"/>
      <c r="F234" s="190"/>
      <c r="G234" s="190"/>
      <c r="H234" s="190"/>
      <c r="I234" s="190"/>
      <c r="J234" s="190"/>
      <c r="K234" s="190"/>
    </row>
    <row r="235" spans="1:11" x14ac:dyDescent="0.2">
      <c r="A235" s="171"/>
      <c r="B235" s="171"/>
      <c r="C235" s="171"/>
      <c r="D235" s="171"/>
      <c r="E235" s="190"/>
      <c r="F235" s="190"/>
      <c r="G235" s="190"/>
      <c r="H235" s="190"/>
      <c r="I235" s="190"/>
      <c r="J235" s="190"/>
      <c r="K235" s="190"/>
    </row>
    <row r="236" spans="1:11" x14ac:dyDescent="0.2">
      <c r="A236" s="171"/>
      <c r="B236" s="171"/>
      <c r="C236" s="171"/>
      <c r="D236" s="171"/>
      <c r="E236" s="190"/>
      <c r="F236" s="190"/>
      <c r="G236" s="190"/>
      <c r="H236" s="190"/>
      <c r="I236" s="190"/>
      <c r="J236" s="190"/>
      <c r="K236" s="190"/>
    </row>
    <row r="237" spans="1:11" x14ac:dyDescent="0.2">
      <c r="A237" s="171"/>
      <c r="B237" s="171"/>
      <c r="C237" s="171"/>
      <c r="D237" s="171"/>
      <c r="E237" s="190"/>
      <c r="F237" s="190"/>
      <c r="G237" s="190"/>
      <c r="H237" s="190"/>
      <c r="I237" s="190"/>
      <c r="J237" s="190"/>
      <c r="K237" s="190"/>
    </row>
    <row r="238" spans="1:11" x14ac:dyDescent="0.2">
      <c r="A238" s="171"/>
      <c r="B238" s="171"/>
      <c r="C238" s="171"/>
      <c r="D238" s="171"/>
      <c r="E238" s="190"/>
      <c r="F238" s="190"/>
      <c r="G238" s="190"/>
      <c r="H238" s="190"/>
      <c r="I238" s="190"/>
      <c r="J238" s="190"/>
      <c r="K238" s="190"/>
    </row>
    <row r="239" spans="1:11" x14ac:dyDescent="0.2">
      <c r="A239" s="171"/>
      <c r="B239" s="171"/>
      <c r="C239" s="171"/>
      <c r="D239" s="171"/>
      <c r="E239" s="190"/>
      <c r="F239" s="190"/>
      <c r="G239" s="190"/>
      <c r="H239" s="190"/>
      <c r="I239" s="190"/>
      <c r="J239" s="190"/>
      <c r="K239" s="190"/>
    </row>
    <row r="240" spans="1:11" x14ac:dyDescent="0.2">
      <c r="A240" s="171"/>
      <c r="B240" s="171"/>
      <c r="C240" s="171"/>
      <c r="D240" s="171"/>
      <c r="E240" s="190"/>
      <c r="F240" s="190"/>
      <c r="G240" s="190"/>
      <c r="H240" s="190"/>
      <c r="I240" s="190"/>
      <c r="J240" s="190"/>
      <c r="K240" s="190"/>
    </row>
    <row r="241" spans="1:11" x14ac:dyDescent="0.2">
      <c r="A241" s="171"/>
      <c r="B241" s="171"/>
      <c r="C241" s="171"/>
      <c r="D241" s="171"/>
      <c r="E241" s="190"/>
      <c r="F241" s="190"/>
      <c r="G241" s="190"/>
      <c r="H241" s="190"/>
      <c r="I241" s="190"/>
      <c r="J241" s="190"/>
      <c r="K241" s="190"/>
    </row>
    <row r="242" spans="1:11" x14ac:dyDescent="0.2">
      <c r="A242" s="171"/>
      <c r="B242" s="171"/>
      <c r="C242" s="171"/>
      <c r="D242" s="171"/>
      <c r="E242" s="190"/>
      <c r="F242" s="190"/>
      <c r="G242" s="190"/>
      <c r="H242" s="190"/>
      <c r="I242" s="190"/>
      <c r="J242" s="190"/>
      <c r="K242" s="190"/>
    </row>
    <row r="243" spans="1:11" x14ac:dyDescent="0.2">
      <c r="A243" s="171"/>
      <c r="B243" s="171"/>
      <c r="C243" s="171"/>
      <c r="D243" s="171"/>
      <c r="E243" s="190"/>
      <c r="F243" s="190"/>
      <c r="G243" s="190"/>
      <c r="H243" s="190"/>
      <c r="I243" s="190"/>
      <c r="J243" s="190"/>
      <c r="K243" s="190"/>
    </row>
    <row r="244" spans="1:11" x14ac:dyDescent="0.2">
      <c r="A244" s="171"/>
      <c r="B244" s="171"/>
      <c r="C244" s="171"/>
      <c r="D244" s="171"/>
      <c r="E244" s="190"/>
      <c r="F244" s="190"/>
      <c r="G244" s="190"/>
      <c r="H244" s="190"/>
      <c r="I244" s="190"/>
      <c r="J244" s="190"/>
      <c r="K244" s="190"/>
    </row>
    <row r="245" spans="1:11" x14ac:dyDescent="0.2">
      <c r="A245" s="171"/>
      <c r="B245" s="171"/>
      <c r="C245" s="171"/>
      <c r="D245" s="171"/>
      <c r="E245" s="190"/>
      <c r="F245" s="190"/>
      <c r="G245" s="190"/>
      <c r="H245" s="190"/>
      <c r="I245" s="190"/>
      <c r="J245" s="190"/>
      <c r="K245" s="190"/>
    </row>
    <row r="246" spans="1:11" ht="28.5" customHeight="1" x14ac:dyDescent="0.2">
      <c r="A246" s="171"/>
      <c r="B246" s="171"/>
      <c r="C246" s="171"/>
      <c r="D246" s="171"/>
      <c r="E246" s="190"/>
      <c r="F246" s="190"/>
      <c r="G246" s="190"/>
      <c r="H246" s="190"/>
      <c r="I246" s="190"/>
      <c r="J246" s="190"/>
      <c r="K246" s="190"/>
    </row>
    <row r="247" spans="1:11" ht="28.5" customHeight="1" x14ac:dyDescent="0.2">
      <c r="A247" s="171"/>
      <c r="B247" s="171"/>
      <c r="C247" s="171"/>
      <c r="D247" s="171"/>
      <c r="E247" s="190"/>
      <c r="F247" s="190"/>
      <c r="G247" s="190"/>
      <c r="H247" s="190"/>
      <c r="I247" s="190"/>
      <c r="J247" s="190"/>
      <c r="K247" s="190"/>
    </row>
    <row r="248" spans="1:11" ht="12.95" customHeight="1" x14ac:dyDescent="0.2">
      <c r="A248" s="171"/>
      <c r="B248" s="171"/>
      <c r="C248" s="171"/>
      <c r="D248" s="171"/>
      <c r="E248" s="190"/>
      <c r="F248" s="190"/>
      <c r="G248" s="190"/>
      <c r="H248" s="190"/>
      <c r="I248" s="190"/>
      <c r="J248" s="190"/>
      <c r="K248" s="190"/>
    </row>
    <row r="249" spans="1:11" ht="12.95" customHeight="1" x14ac:dyDescent="0.2">
      <c r="A249" s="170"/>
      <c r="B249" s="171"/>
      <c r="C249" s="171"/>
      <c r="D249" s="171"/>
      <c r="E249" s="192"/>
      <c r="F249" s="225"/>
      <c r="G249" s="225"/>
      <c r="H249" s="225"/>
      <c r="I249" s="192"/>
      <c r="J249" s="225"/>
      <c r="K249" s="225"/>
    </row>
    <row r="250" spans="1:11" ht="12.9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</row>
    <row r="251" spans="1:11" ht="12.95" customHeight="1" x14ac:dyDescent="0.2">
      <c r="A251" s="14"/>
      <c r="B251" s="171"/>
      <c r="C251" s="171"/>
      <c r="D251" s="171"/>
      <c r="E251" s="14"/>
      <c r="F251" s="14"/>
      <c r="G251" s="232"/>
      <c r="H251" s="233"/>
      <c r="I251" s="233"/>
      <c r="J251" s="234"/>
      <c r="K251" s="14"/>
    </row>
    <row r="252" spans="1:11" ht="39.75" customHeight="1" x14ac:dyDescent="0.2">
      <c r="A252" s="14"/>
      <c r="B252" s="171"/>
      <c r="C252" s="171"/>
      <c r="D252" s="171"/>
      <c r="E252" s="14"/>
      <c r="F252" s="14"/>
      <c r="G252" s="235"/>
      <c r="H252" s="236"/>
      <c r="I252" s="236"/>
      <c r="J252" s="237"/>
      <c r="K252" s="14"/>
    </row>
    <row r="253" spans="1:11" ht="39.75" customHeight="1" x14ac:dyDescent="0.2">
      <c r="A253" s="14"/>
      <c r="B253" s="171"/>
      <c r="C253" s="171"/>
      <c r="D253" s="171"/>
      <c r="E253" s="14"/>
      <c r="F253" s="14"/>
      <c r="G253" s="238"/>
      <c r="H253" s="239"/>
      <c r="I253" s="239"/>
      <c r="J253" s="240"/>
      <c r="K253" s="14"/>
    </row>
    <row r="254" spans="1:11" ht="39.75" customHeight="1" x14ac:dyDescent="0.2">
      <c r="A254" s="14"/>
      <c r="B254" s="127" t="s">
        <v>90</v>
      </c>
      <c r="C254" s="127"/>
      <c r="D254" s="127"/>
      <c r="E254" s="14"/>
      <c r="F254" s="14"/>
      <c r="G254" s="241" t="s">
        <v>91</v>
      </c>
      <c r="H254" s="242"/>
      <c r="I254" s="242"/>
      <c r="J254" s="243"/>
      <c r="K254" s="14"/>
    </row>
  </sheetData>
  <mergeCells count="255">
    <mergeCell ref="A160:K160"/>
    <mergeCell ref="A118:B118"/>
    <mergeCell ref="D114:F114"/>
    <mergeCell ref="D115:F115"/>
    <mergeCell ref="D116:F116"/>
    <mergeCell ref="D117:F117"/>
    <mergeCell ref="D118:F118"/>
    <mergeCell ref="A119:I119"/>
    <mergeCell ref="B157:C157"/>
    <mergeCell ref="A159:C159"/>
    <mergeCell ref="A167:K167"/>
    <mergeCell ref="A187:C187"/>
    <mergeCell ref="A170:C170"/>
    <mergeCell ref="A198:B198"/>
    <mergeCell ref="C196:K196"/>
    <mergeCell ref="C197:K197"/>
    <mergeCell ref="C198:K198"/>
    <mergeCell ref="A120:I120"/>
    <mergeCell ref="J120:K120"/>
    <mergeCell ref="A125:K125"/>
    <mergeCell ref="A126:K126"/>
    <mergeCell ref="A133:C133"/>
    <mergeCell ref="A142:K142"/>
    <mergeCell ref="A143:C143"/>
    <mergeCell ref="A138:K138"/>
    <mergeCell ref="A139:C139"/>
    <mergeCell ref="A195:B195"/>
    <mergeCell ref="A191:C191"/>
    <mergeCell ref="A184:C184"/>
    <mergeCell ref="B177:C177"/>
    <mergeCell ref="B179:C179"/>
    <mergeCell ref="B180:C180"/>
    <mergeCell ref="B181:C181"/>
    <mergeCell ref="B155:C155"/>
    <mergeCell ref="A106:B106"/>
    <mergeCell ref="D106:F106"/>
    <mergeCell ref="A113:B113"/>
    <mergeCell ref="A114:B114"/>
    <mergeCell ref="A115:B115"/>
    <mergeCell ref="A116:B116"/>
    <mergeCell ref="A117:B117"/>
    <mergeCell ref="D100:F100"/>
    <mergeCell ref="D101:F101"/>
    <mergeCell ref="D102:F102"/>
    <mergeCell ref="D103:F103"/>
    <mergeCell ref="D104:F104"/>
    <mergeCell ref="D110:F110"/>
    <mergeCell ref="D111:F111"/>
    <mergeCell ref="D112:F112"/>
    <mergeCell ref="D113:F113"/>
    <mergeCell ref="D107:F107"/>
    <mergeCell ref="A108:B108"/>
    <mergeCell ref="D108:F108"/>
    <mergeCell ref="A109:B109"/>
    <mergeCell ref="D109:F109"/>
    <mergeCell ref="K85:K86"/>
    <mergeCell ref="B87:C87"/>
    <mergeCell ref="B88:C88"/>
    <mergeCell ref="B89:C89"/>
    <mergeCell ref="B90:C90"/>
    <mergeCell ref="A95:C95"/>
    <mergeCell ref="B94:C94"/>
    <mergeCell ref="A105:B105"/>
    <mergeCell ref="D105:F105"/>
    <mergeCell ref="A250:K250"/>
    <mergeCell ref="B251:D253"/>
    <mergeCell ref="G251:J253"/>
    <mergeCell ref="B254:D254"/>
    <mergeCell ref="G254:J254"/>
    <mergeCell ref="E233:H248"/>
    <mergeCell ref="I233:K248"/>
    <mergeCell ref="E249:H249"/>
    <mergeCell ref="I249:K249"/>
    <mergeCell ref="A249:D249"/>
    <mergeCell ref="A209:K209"/>
    <mergeCell ref="C201:K201"/>
    <mergeCell ref="C202:K202"/>
    <mergeCell ref="C207:K207"/>
    <mergeCell ref="A201:B201"/>
    <mergeCell ref="A202:B202"/>
    <mergeCell ref="A207:B207"/>
    <mergeCell ref="A200:K200"/>
    <mergeCell ref="A203:B203"/>
    <mergeCell ref="C203:K203"/>
    <mergeCell ref="A204:B204"/>
    <mergeCell ref="C204:K204"/>
    <mergeCell ref="A205:B205"/>
    <mergeCell ref="C205:K205"/>
    <mergeCell ref="A206:B206"/>
    <mergeCell ref="C206:K206"/>
    <mergeCell ref="A208:K208"/>
    <mergeCell ref="A199:B199"/>
    <mergeCell ref="E131:G131"/>
    <mergeCell ref="H131:K131"/>
    <mergeCell ref="E128:G128"/>
    <mergeCell ref="H128:K128"/>
    <mergeCell ref="E129:G129"/>
    <mergeCell ref="H129:K129"/>
    <mergeCell ref="E130:G130"/>
    <mergeCell ref="H130:K130"/>
    <mergeCell ref="C193:K193"/>
    <mergeCell ref="A193:B193"/>
    <mergeCell ref="A194:B194"/>
    <mergeCell ref="C194:K194"/>
    <mergeCell ref="C195:K195"/>
    <mergeCell ref="C199:K199"/>
    <mergeCell ref="B140:C140"/>
    <mergeCell ref="A141:C141"/>
    <mergeCell ref="A169:K169"/>
    <mergeCell ref="B171:C171"/>
    <mergeCell ref="A183:C183"/>
    <mergeCell ref="A186:K186"/>
    <mergeCell ref="B188:C188"/>
    <mergeCell ref="B189:C189"/>
    <mergeCell ref="B190:C190"/>
    <mergeCell ref="B176:C176"/>
    <mergeCell ref="B178:C178"/>
    <mergeCell ref="B182:C182"/>
    <mergeCell ref="A10:K10"/>
    <mergeCell ref="A13:C15"/>
    <mergeCell ref="K14:K15"/>
    <mergeCell ref="B16:C16"/>
    <mergeCell ref="A28:C30"/>
    <mergeCell ref="K29:K30"/>
    <mergeCell ref="B32:C32"/>
    <mergeCell ref="B33:C33"/>
    <mergeCell ref="B34:C34"/>
    <mergeCell ref="A21:C21"/>
    <mergeCell ref="A27:C27"/>
    <mergeCell ref="A11:K11"/>
    <mergeCell ref="D58:K58"/>
    <mergeCell ref="K59:K60"/>
    <mergeCell ref="B67:C67"/>
    <mergeCell ref="A71:C71"/>
    <mergeCell ref="A72:C72"/>
    <mergeCell ref="K44:K45"/>
    <mergeCell ref="B52:C52"/>
    <mergeCell ref="A103:B103"/>
    <mergeCell ref="A104:B104"/>
    <mergeCell ref="A1:B4"/>
    <mergeCell ref="C1:I4"/>
    <mergeCell ref="A5:K5"/>
    <mergeCell ref="A6:B6"/>
    <mergeCell ref="C6:K6"/>
    <mergeCell ref="A7:B7"/>
    <mergeCell ref="C7:K7"/>
    <mergeCell ref="B172:C172"/>
    <mergeCell ref="B174:C174"/>
    <mergeCell ref="A110:B110"/>
    <mergeCell ref="A111:B111"/>
    <mergeCell ref="A112:B112"/>
    <mergeCell ref="A107:B107"/>
    <mergeCell ref="B78:C78"/>
    <mergeCell ref="A83:K83"/>
    <mergeCell ref="A97:K97"/>
    <mergeCell ref="A99:K99"/>
    <mergeCell ref="A100:B100"/>
    <mergeCell ref="A101:B101"/>
    <mergeCell ref="A102:B102"/>
    <mergeCell ref="A98:K98"/>
    <mergeCell ref="A96:K96"/>
    <mergeCell ref="A84:C86"/>
    <mergeCell ref="D84:K84"/>
    <mergeCell ref="B38:C38"/>
    <mergeCell ref="B39:C39"/>
    <mergeCell ref="B40:C40"/>
    <mergeCell ref="A8:B8"/>
    <mergeCell ref="C8:F8"/>
    <mergeCell ref="G8:H8"/>
    <mergeCell ref="I8:K8"/>
    <mergeCell ref="A9:B9"/>
    <mergeCell ref="C9:F9"/>
    <mergeCell ref="G9:H9"/>
    <mergeCell ref="I9:K9"/>
    <mergeCell ref="A158:C158"/>
    <mergeCell ref="B134:C134"/>
    <mergeCell ref="B135:C135"/>
    <mergeCell ref="B136:C136"/>
    <mergeCell ref="A137:C137"/>
    <mergeCell ref="B144:C144"/>
    <mergeCell ref="B173:C173"/>
    <mergeCell ref="D13:K13"/>
    <mergeCell ref="D28:K28"/>
    <mergeCell ref="D43:K43"/>
    <mergeCell ref="B18:C18"/>
    <mergeCell ref="A20:C20"/>
    <mergeCell ref="B22:C22"/>
    <mergeCell ref="B24:C24"/>
    <mergeCell ref="A26:C26"/>
    <mergeCell ref="A43:C45"/>
    <mergeCell ref="B17:C17"/>
    <mergeCell ref="B19:C19"/>
    <mergeCell ref="B23:C23"/>
    <mergeCell ref="B25:C25"/>
    <mergeCell ref="B31:C31"/>
    <mergeCell ref="A35:C35"/>
    <mergeCell ref="A36:C36"/>
    <mergeCell ref="B37:C37"/>
    <mergeCell ref="A128:B128"/>
    <mergeCell ref="A129:B129"/>
    <mergeCell ref="A130:B130"/>
    <mergeCell ref="A131:B131"/>
    <mergeCell ref="A132:K132"/>
    <mergeCell ref="B145:C145"/>
    <mergeCell ref="A146:C146"/>
    <mergeCell ref="B154:C154"/>
    <mergeCell ref="B156:C156"/>
    <mergeCell ref="A147:K151"/>
    <mergeCell ref="A152:K152"/>
    <mergeCell ref="A153:C153"/>
    <mergeCell ref="A210:K210"/>
    <mergeCell ref="A211:K211"/>
    <mergeCell ref="A212:K212"/>
    <mergeCell ref="A213:K213"/>
    <mergeCell ref="A215:K215"/>
    <mergeCell ref="A216:D231"/>
    <mergeCell ref="A233:D248"/>
    <mergeCell ref="E216:H231"/>
    <mergeCell ref="I216:K231"/>
    <mergeCell ref="A214:K214"/>
    <mergeCell ref="A232:D232"/>
    <mergeCell ref="E232:K232"/>
    <mergeCell ref="B46:C46"/>
    <mergeCell ref="B47:C47"/>
    <mergeCell ref="B48:C48"/>
    <mergeCell ref="B49:C49"/>
    <mergeCell ref="B53:C53"/>
    <mergeCell ref="A50:C50"/>
    <mergeCell ref="A51:C51"/>
    <mergeCell ref="A41:C41"/>
    <mergeCell ref="A42:C42"/>
    <mergeCell ref="B91:C91"/>
    <mergeCell ref="B92:C92"/>
    <mergeCell ref="B93:C93"/>
    <mergeCell ref="B175:C175"/>
    <mergeCell ref="A196:B196"/>
    <mergeCell ref="A197:B197"/>
    <mergeCell ref="B54:C54"/>
    <mergeCell ref="B55:C55"/>
    <mergeCell ref="B61:C61"/>
    <mergeCell ref="B62:C62"/>
    <mergeCell ref="B63:C63"/>
    <mergeCell ref="B64:C64"/>
    <mergeCell ref="B68:C68"/>
    <mergeCell ref="B69:C69"/>
    <mergeCell ref="B70:C70"/>
    <mergeCell ref="A65:C65"/>
    <mergeCell ref="A66:C66"/>
    <mergeCell ref="A56:C56"/>
    <mergeCell ref="A57:C57"/>
    <mergeCell ref="A58:C60"/>
    <mergeCell ref="A166:K166"/>
    <mergeCell ref="A185:K185"/>
    <mergeCell ref="A192:K192"/>
    <mergeCell ref="A127:K127"/>
  </mergeCells>
  <dataValidations count="1">
    <dataValidation type="list" allowBlank="1" showInputMessage="1" showErrorMessage="1" sqref="C101:C118" xr:uid="{81182A53-0F3E-4599-9B11-0B8B63B188CC}">
      <formula1>$N$101:$N$104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A73-1DDC-4575-8D70-519775633275}">
  <sheetPr>
    <tabColor rgb="FFC00000"/>
    <pageSetUpPr fitToPage="1"/>
  </sheetPr>
  <dimension ref="A1:CN254"/>
  <sheetViews>
    <sheetView showGridLines="0" view="pageBreakPreview" topLeftCell="A110" zoomScale="68" zoomScaleNormal="70" zoomScaleSheetLayoutView="68" workbookViewId="0">
      <selection activeCell="A99" sqref="A99:K120"/>
    </sheetView>
  </sheetViews>
  <sheetFormatPr baseColWidth="10" defaultColWidth="9.140625" defaultRowHeight="12.75" x14ac:dyDescent="0.2"/>
  <cols>
    <col min="1" max="1" width="4.42578125" customWidth="1"/>
    <col min="2" max="2" width="21.140625" customWidth="1"/>
    <col min="3" max="3" width="25.7109375" customWidth="1"/>
    <col min="4" max="10" width="14.7109375" customWidth="1"/>
    <col min="11" max="11" width="15.7109375" customWidth="1"/>
    <col min="16" max="16" width="17.7109375" style="25" bestFit="1" customWidth="1"/>
  </cols>
  <sheetData>
    <row r="1" spans="1:92" x14ac:dyDescent="0.2">
      <c r="A1" s="170"/>
      <c r="B1" s="170"/>
      <c r="C1" s="219" t="s">
        <v>0</v>
      </c>
      <c r="D1" s="219"/>
      <c r="E1" s="219"/>
      <c r="F1" s="219"/>
      <c r="G1" s="219"/>
      <c r="H1" s="219"/>
      <c r="I1" s="219"/>
      <c r="J1" s="16" t="s">
        <v>1</v>
      </c>
      <c r="K1" s="17" t="s">
        <v>2</v>
      </c>
    </row>
    <row r="2" spans="1:92" x14ac:dyDescent="0.2">
      <c r="A2" s="170"/>
      <c r="B2" s="170"/>
      <c r="C2" s="219"/>
      <c r="D2" s="219"/>
      <c r="E2" s="219"/>
      <c r="F2" s="219"/>
      <c r="G2" s="219"/>
      <c r="H2" s="219"/>
      <c r="I2" s="219"/>
      <c r="J2" s="16" t="s">
        <v>3</v>
      </c>
      <c r="K2" s="18" t="s">
        <v>168</v>
      </c>
      <c r="N2" s="25"/>
      <c r="P2"/>
      <c r="Q2" s="25"/>
      <c r="T2" s="25"/>
      <c r="W2" s="25"/>
      <c r="Z2" s="25"/>
      <c r="AC2" s="25"/>
      <c r="AF2" s="25"/>
      <c r="AI2" s="25"/>
      <c r="AL2" s="25"/>
      <c r="AO2" s="25"/>
      <c r="AR2" s="25"/>
      <c r="AU2" s="25"/>
      <c r="AX2" s="25"/>
      <c r="BA2" s="25"/>
      <c r="BD2" s="25"/>
      <c r="BG2" s="25"/>
      <c r="BJ2" s="25"/>
      <c r="BM2" s="25"/>
      <c r="BP2" s="25"/>
      <c r="BS2" s="25"/>
      <c r="BV2" s="25"/>
      <c r="BY2" s="25"/>
      <c r="CB2" s="25"/>
      <c r="CE2" s="25"/>
      <c r="CH2" s="25"/>
      <c r="CK2" s="25"/>
      <c r="CN2" s="25"/>
    </row>
    <row r="3" spans="1:92" x14ac:dyDescent="0.2">
      <c r="A3" s="170"/>
      <c r="B3" s="170"/>
      <c r="C3" s="219"/>
      <c r="D3" s="219"/>
      <c r="E3" s="219"/>
      <c r="F3" s="219"/>
      <c r="G3" s="219"/>
      <c r="H3" s="219"/>
      <c r="I3" s="219"/>
      <c r="J3" s="16" t="s">
        <v>4</v>
      </c>
      <c r="K3" s="19">
        <v>46119</v>
      </c>
      <c r="N3" s="25"/>
      <c r="P3"/>
      <c r="Q3" s="25"/>
      <c r="T3" s="25"/>
      <c r="W3" s="25"/>
      <c r="Z3" s="25"/>
      <c r="AC3" s="25"/>
      <c r="AF3" s="25"/>
      <c r="AI3" s="25"/>
      <c r="AL3" s="25"/>
      <c r="AO3" s="25"/>
      <c r="AR3" s="25"/>
      <c r="AU3" s="25"/>
      <c r="AX3" s="25"/>
      <c r="BA3" s="25"/>
      <c r="BD3" s="25"/>
      <c r="BG3" s="25"/>
      <c r="BJ3" s="25"/>
      <c r="BM3" s="25"/>
      <c r="BP3" s="25"/>
      <c r="BS3" s="25"/>
      <c r="BV3" s="25"/>
      <c r="BY3" s="25"/>
      <c r="CB3" s="25"/>
      <c r="CE3" s="25"/>
      <c r="CH3" s="25"/>
      <c r="CK3" s="25"/>
      <c r="CN3" s="25"/>
    </row>
    <row r="4" spans="1:92" x14ac:dyDescent="0.2">
      <c r="A4" s="170"/>
      <c r="B4" s="170"/>
      <c r="C4" s="219"/>
      <c r="D4" s="219"/>
      <c r="E4" s="219"/>
      <c r="F4" s="219"/>
      <c r="G4" s="219"/>
      <c r="H4" s="219"/>
      <c r="I4" s="219"/>
      <c r="J4" s="16" t="s">
        <v>5</v>
      </c>
      <c r="K4" s="18" t="s">
        <v>6</v>
      </c>
      <c r="N4" s="25"/>
      <c r="P4"/>
      <c r="Q4" s="25"/>
      <c r="T4" s="25"/>
      <c r="W4" s="25"/>
      <c r="Z4" s="25"/>
      <c r="AC4" s="25"/>
      <c r="AF4" s="25"/>
      <c r="AI4" s="25"/>
      <c r="AL4" s="25"/>
      <c r="AO4" s="25"/>
      <c r="AR4" s="25"/>
      <c r="AU4" s="25"/>
      <c r="AX4" s="25"/>
      <c r="BA4" s="25"/>
      <c r="BD4" s="25"/>
      <c r="BG4" s="25"/>
      <c r="BJ4" s="25"/>
      <c r="BM4" s="25"/>
      <c r="BP4" s="25"/>
      <c r="BS4" s="25"/>
      <c r="BV4" s="25"/>
      <c r="BY4" s="25"/>
      <c r="CB4" s="25"/>
      <c r="CE4" s="25"/>
      <c r="CH4" s="25"/>
      <c r="CK4" s="25"/>
      <c r="CN4" s="25"/>
    </row>
    <row r="5" spans="1:92" s="4" customFormat="1" ht="7.1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5"/>
      <c r="M5"/>
      <c r="N5" s="25"/>
      <c r="O5"/>
      <c r="P5"/>
      <c r="Q5" s="25"/>
      <c r="R5"/>
      <c r="S5"/>
      <c r="T5" s="25"/>
      <c r="U5"/>
      <c r="V5"/>
      <c r="W5" s="25"/>
      <c r="X5"/>
      <c r="Y5"/>
      <c r="Z5" s="25"/>
      <c r="AA5"/>
      <c r="AB5"/>
      <c r="AC5" s="25"/>
      <c r="AD5"/>
      <c r="AE5"/>
      <c r="AF5" s="25"/>
      <c r="AG5"/>
      <c r="AH5"/>
      <c r="AI5" s="25"/>
      <c r="AJ5"/>
      <c r="AK5"/>
      <c r="AL5" s="25"/>
      <c r="AM5"/>
      <c r="AN5"/>
      <c r="AO5" s="25"/>
      <c r="AP5"/>
      <c r="AQ5"/>
      <c r="AR5" s="25"/>
      <c r="AS5"/>
      <c r="AT5"/>
      <c r="AU5" s="25"/>
      <c r="AV5"/>
      <c r="AW5"/>
      <c r="AX5" s="25"/>
      <c r="AY5"/>
      <c r="AZ5"/>
      <c r="BA5" s="25"/>
      <c r="BB5"/>
      <c r="BC5"/>
      <c r="BD5" s="25"/>
      <c r="BE5"/>
      <c r="BF5"/>
      <c r="BG5" s="25"/>
      <c r="BH5"/>
      <c r="BI5"/>
      <c r="BJ5" s="25"/>
      <c r="BK5"/>
      <c r="BL5"/>
      <c r="BM5" s="25"/>
      <c r="BN5"/>
      <c r="BO5"/>
      <c r="BP5" s="25"/>
      <c r="BQ5"/>
      <c r="BR5"/>
      <c r="BS5" s="25"/>
      <c r="BT5"/>
      <c r="BU5"/>
      <c r="BV5" s="25"/>
      <c r="BW5"/>
      <c r="BX5"/>
      <c r="BY5" s="25"/>
      <c r="BZ5"/>
      <c r="CA5"/>
      <c r="CB5" s="25"/>
      <c r="CC5"/>
      <c r="CD5"/>
      <c r="CE5" s="25"/>
      <c r="CF5"/>
      <c r="CG5"/>
      <c r="CH5" s="25"/>
      <c r="CI5"/>
      <c r="CJ5"/>
      <c r="CK5" s="25"/>
      <c r="CL5"/>
      <c r="CM5"/>
      <c r="CN5" s="25"/>
    </row>
    <row r="6" spans="1:92" ht="15.95" customHeight="1" x14ac:dyDescent="0.2">
      <c r="A6" s="119" t="s">
        <v>7</v>
      </c>
      <c r="B6" s="119"/>
      <c r="C6" s="131"/>
      <c r="D6" s="131"/>
      <c r="E6" s="131"/>
      <c r="F6" s="131"/>
      <c r="G6" s="131"/>
      <c r="H6" s="131"/>
      <c r="I6" s="131"/>
      <c r="J6" s="131"/>
      <c r="K6" s="13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15.95" customHeight="1" x14ac:dyDescent="0.2">
      <c r="A7" s="119" t="s">
        <v>8</v>
      </c>
      <c r="B7" s="119"/>
      <c r="C7" s="213"/>
      <c r="D7" s="214"/>
      <c r="E7" s="214"/>
      <c r="F7" s="214"/>
      <c r="G7" s="214"/>
      <c r="H7" s="214"/>
      <c r="I7" s="214"/>
      <c r="J7" s="214"/>
      <c r="K7" s="21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15.95" customHeight="1" x14ac:dyDescent="0.2">
      <c r="A8" s="119" t="s">
        <v>9</v>
      </c>
      <c r="B8" s="119"/>
      <c r="C8" s="205"/>
      <c r="D8" s="206"/>
      <c r="E8" s="206"/>
      <c r="F8" s="207"/>
      <c r="G8" s="208" t="s">
        <v>10</v>
      </c>
      <c r="H8" s="209"/>
      <c r="I8" s="210" t="s">
        <v>164</v>
      </c>
      <c r="J8" s="211"/>
      <c r="K8" s="212"/>
      <c r="N8" s="25"/>
      <c r="P8"/>
      <c r="Q8" s="25"/>
      <c r="T8" s="25"/>
      <c r="W8" s="25"/>
      <c r="Z8" s="25"/>
      <c r="AC8" s="25"/>
      <c r="AF8" s="25"/>
      <c r="AI8" s="25"/>
      <c r="AL8" s="25"/>
      <c r="AO8" s="25"/>
      <c r="AR8" s="25"/>
      <c r="AU8" s="25"/>
      <c r="AX8" s="25"/>
      <c r="BA8" s="25"/>
      <c r="BD8" s="25"/>
      <c r="BG8" s="25"/>
      <c r="BJ8" s="25"/>
      <c r="BM8" s="25"/>
      <c r="BP8" s="25"/>
      <c r="BS8" s="25"/>
      <c r="BV8" s="25"/>
      <c r="BY8" s="25"/>
      <c r="CB8" s="25"/>
      <c r="CE8" s="25"/>
      <c r="CH8" s="25"/>
      <c r="CK8" s="25"/>
      <c r="CN8" s="25"/>
    </row>
    <row r="9" spans="1:92" ht="15.95" customHeight="1" x14ac:dyDescent="0.2">
      <c r="A9" s="119" t="s">
        <v>11</v>
      </c>
      <c r="B9" s="119"/>
      <c r="C9" s="213"/>
      <c r="D9" s="214"/>
      <c r="E9" s="214"/>
      <c r="F9" s="215"/>
      <c r="G9" s="208" t="s">
        <v>12</v>
      </c>
      <c r="H9" s="209"/>
      <c r="I9" s="216"/>
      <c r="J9" s="217"/>
      <c r="K9" s="218"/>
      <c r="N9" s="25"/>
      <c r="P9"/>
      <c r="Q9" s="25"/>
      <c r="T9" s="25"/>
      <c r="W9" s="25"/>
      <c r="Z9" s="25"/>
      <c r="AC9" s="25"/>
      <c r="AF9" s="25"/>
      <c r="AI9" s="25"/>
      <c r="AL9" s="25"/>
      <c r="AO9" s="25"/>
      <c r="AR9" s="25"/>
      <c r="AU9" s="25"/>
      <c r="AX9" s="25"/>
      <c r="BA9" s="25"/>
      <c r="BD9" s="25"/>
      <c r="BG9" s="25"/>
      <c r="BJ9" s="25"/>
      <c r="BM9" s="25"/>
      <c r="BP9" s="25"/>
      <c r="BS9" s="25"/>
      <c r="BV9" s="25"/>
      <c r="BY9" s="25"/>
      <c r="CB9" s="25"/>
      <c r="CE9" s="25"/>
      <c r="CH9" s="25"/>
      <c r="CK9" s="25"/>
      <c r="CN9" s="25"/>
    </row>
    <row r="10" spans="1:92" s="4" customFormat="1" ht="7.15" customHeight="1" x14ac:dyDescent="0.2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5"/>
      <c r="M10"/>
      <c r="N10" s="25"/>
      <c r="O10"/>
      <c r="P10"/>
      <c r="Q10" s="25"/>
      <c r="R10"/>
      <c r="S10"/>
      <c r="T10" s="25"/>
      <c r="U10"/>
      <c r="V10"/>
      <c r="W10" s="25"/>
      <c r="X10"/>
      <c r="Y10"/>
      <c r="Z10" s="25"/>
      <c r="AA10"/>
      <c r="AB10"/>
      <c r="AC10" s="25"/>
      <c r="AD10"/>
      <c r="AE10"/>
      <c r="AF10" s="25"/>
      <c r="AG10"/>
      <c r="AH10"/>
      <c r="AI10" s="25"/>
      <c r="AJ10"/>
      <c r="AK10"/>
      <c r="AL10" s="25"/>
      <c r="AM10"/>
      <c r="AN10"/>
      <c r="AO10" s="25"/>
      <c r="AP10"/>
      <c r="AQ10"/>
      <c r="AR10" s="25"/>
      <c r="AS10"/>
      <c r="AT10"/>
      <c r="AU10" s="25"/>
      <c r="AV10"/>
      <c r="AW10"/>
      <c r="AX10" s="25"/>
      <c r="AY10"/>
      <c r="AZ10"/>
      <c r="BA10" s="25"/>
      <c r="BB10"/>
      <c r="BC10"/>
      <c r="BD10" s="25"/>
      <c r="BE10"/>
      <c r="BF10"/>
      <c r="BG10" s="25"/>
      <c r="BH10"/>
      <c r="BI10"/>
      <c r="BJ10" s="25"/>
      <c r="BK10"/>
      <c r="BL10"/>
      <c r="BM10" s="25"/>
      <c r="BN10"/>
      <c r="BO10"/>
      <c r="BP10" s="25"/>
      <c r="BQ10"/>
      <c r="BR10"/>
      <c r="BS10" s="25"/>
      <c r="BT10"/>
      <c r="BU10"/>
      <c r="BV10" s="25"/>
      <c r="BW10"/>
      <c r="BX10"/>
      <c r="BY10" s="25"/>
      <c r="BZ10"/>
      <c r="CA10"/>
      <c r="CB10" s="25"/>
      <c r="CC10"/>
      <c r="CD10"/>
      <c r="CE10" s="25"/>
      <c r="CF10"/>
      <c r="CG10"/>
      <c r="CH10" s="25"/>
      <c r="CI10"/>
      <c r="CJ10"/>
      <c r="CK10" s="25"/>
      <c r="CL10"/>
      <c r="CM10"/>
      <c r="CN10" s="25"/>
    </row>
    <row r="11" spans="1:92" s="5" customFormat="1" ht="27" customHeight="1" x14ac:dyDescent="0.2">
      <c r="A11" s="221" t="s">
        <v>169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3"/>
      <c r="M11"/>
      <c r="N11" s="25"/>
      <c r="O11"/>
      <c r="P11"/>
      <c r="Q11" s="25"/>
      <c r="R11"/>
      <c r="S11"/>
      <c r="T11" s="25"/>
      <c r="U11"/>
      <c r="V11"/>
      <c r="W11" s="25"/>
      <c r="X11"/>
      <c r="Y11"/>
      <c r="Z11" s="25"/>
      <c r="AA11"/>
      <c r="AB11"/>
      <c r="AC11" s="25"/>
      <c r="AD11"/>
      <c r="AE11"/>
      <c r="AF11" s="25"/>
      <c r="AG11"/>
      <c r="AH11"/>
      <c r="AI11" s="25"/>
      <c r="AJ11"/>
      <c r="AK11"/>
      <c r="AL11" s="25"/>
      <c r="AM11"/>
      <c r="AN11"/>
      <c r="AO11" s="25"/>
      <c r="AP11"/>
      <c r="AQ11"/>
      <c r="AR11" s="25"/>
      <c r="AS11"/>
      <c r="AT11"/>
      <c r="AU11" s="25"/>
      <c r="AV11"/>
      <c r="AW11"/>
      <c r="AX11" s="25"/>
      <c r="AY11"/>
      <c r="AZ11"/>
      <c r="BA11" s="25"/>
      <c r="BB11"/>
      <c r="BC11"/>
      <c r="BD11" s="25"/>
      <c r="BE11"/>
      <c r="BF11"/>
      <c r="BG11" s="25"/>
      <c r="BH11"/>
      <c r="BI11"/>
      <c r="BJ11" s="25"/>
      <c r="BK11"/>
      <c r="BL11"/>
      <c r="BM11" s="25"/>
      <c r="BN11"/>
      <c r="BO11"/>
      <c r="BP11" s="25"/>
      <c r="BQ11"/>
      <c r="BR11"/>
      <c r="BS11" s="25"/>
      <c r="BT11"/>
      <c r="BU11"/>
      <c r="BV11" s="25"/>
      <c r="BW11"/>
      <c r="BX11"/>
      <c r="BY11" s="25"/>
      <c r="BZ11"/>
      <c r="CA11"/>
      <c r="CB11" s="25"/>
      <c r="CC11"/>
      <c r="CD11"/>
      <c r="CE11" s="25"/>
      <c r="CF11"/>
      <c r="CG11"/>
      <c r="CH11" s="25"/>
      <c r="CI11"/>
      <c r="CJ11"/>
      <c r="CK11" s="25"/>
      <c r="CL11"/>
      <c r="CM11"/>
      <c r="CN11" s="25"/>
    </row>
    <row r="12" spans="1:92" s="5" customFormat="1" ht="6.75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0" customFormat="1" ht="15" customHeight="1" x14ac:dyDescent="0.2">
      <c r="A13" s="185" t="s">
        <v>13</v>
      </c>
      <c r="B13" s="185"/>
      <c r="C13" s="185"/>
      <c r="D13" s="202" t="s">
        <v>14</v>
      </c>
      <c r="E13" s="203"/>
      <c r="F13" s="203"/>
      <c r="G13" s="203"/>
      <c r="H13" s="203"/>
      <c r="I13" s="203"/>
      <c r="J13" s="203"/>
      <c r="K13" s="20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15" customHeight="1" x14ac:dyDescent="0.2">
      <c r="A14" s="185"/>
      <c r="B14" s="185"/>
      <c r="C14" s="185"/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85" t="s">
        <v>22</v>
      </c>
    </row>
    <row r="15" spans="1:92" s="8" customFormat="1" ht="15" customHeight="1" x14ac:dyDescent="0.2">
      <c r="A15" s="185"/>
      <c r="B15" s="185"/>
      <c r="C15" s="185"/>
      <c r="D15" s="21">
        <f>'SEMANA 01'!J15+1</f>
        <v>46118</v>
      </c>
      <c r="E15" s="21">
        <f t="shared" ref="E15" si="0">D15+1</f>
        <v>46119</v>
      </c>
      <c r="F15" s="21">
        <f t="shared" ref="F15" si="1">E15+1</f>
        <v>46120</v>
      </c>
      <c r="G15" s="21">
        <f t="shared" ref="G15:J15" si="2">F15+1</f>
        <v>46121</v>
      </c>
      <c r="H15" s="21">
        <f t="shared" si="2"/>
        <v>46122</v>
      </c>
      <c r="I15" s="21">
        <f t="shared" si="2"/>
        <v>46123</v>
      </c>
      <c r="J15" s="21">
        <f t="shared" si="2"/>
        <v>46124</v>
      </c>
      <c r="K15" s="185"/>
      <c r="P15" s="56"/>
    </row>
    <row r="16" spans="1:92" ht="15" customHeight="1" x14ac:dyDescent="0.2">
      <c r="A16" s="9">
        <v>1</v>
      </c>
      <c r="B16" s="118" t="s">
        <v>23</v>
      </c>
      <c r="C16" s="118"/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0">
        <f>AVERAGE(D16:J16)</f>
        <v>0</v>
      </c>
    </row>
    <row r="17" spans="1:16" ht="15" customHeight="1" x14ac:dyDescent="0.2">
      <c r="A17" s="9">
        <v>2</v>
      </c>
      <c r="B17" s="118" t="s">
        <v>24</v>
      </c>
      <c r="C17" s="118"/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0">
        <f t="shared" ref="K17:K18" si="3">AVERAGE(D17:J17)</f>
        <v>0</v>
      </c>
    </row>
    <row r="18" spans="1:16" ht="15" customHeight="1" x14ac:dyDescent="0.2">
      <c r="A18" s="9">
        <v>3</v>
      </c>
      <c r="B18" s="118" t="s">
        <v>25</v>
      </c>
      <c r="C18" s="118"/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0">
        <f t="shared" si="3"/>
        <v>0</v>
      </c>
    </row>
    <row r="19" spans="1:16" ht="15" customHeight="1" x14ac:dyDescent="0.2">
      <c r="A19" s="9">
        <v>4</v>
      </c>
      <c r="B19" s="118" t="s">
        <v>26</v>
      </c>
      <c r="C19" s="118"/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0">
        <f>AVERAGE(D19:J19)</f>
        <v>0</v>
      </c>
    </row>
    <row r="20" spans="1:16" s="6" customFormat="1" ht="15" customHeight="1" x14ac:dyDescent="0.2">
      <c r="A20" s="127" t="s">
        <v>27</v>
      </c>
      <c r="B20" s="127"/>
      <c r="C20" s="127"/>
      <c r="D20" s="11">
        <f t="shared" ref="D20:G21" si="4">D16+D18</f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>H16+H18</f>
        <v>0</v>
      </c>
      <c r="I20" s="11">
        <f t="shared" ref="H20:J21" si="5">I16+I18</f>
        <v>0</v>
      </c>
      <c r="J20" s="11">
        <f t="shared" si="5"/>
        <v>0</v>
      </c>
      <c r="K20" s="11">
        <f>K16+K18</f>
        <v>0</v>
      </c>
    </row>
    <row r="21" spans="1:16" s="6" customFormat="1" ht="15" customHeight="1" x14ac:dyDescent="0.2">
      <c r="A21" s="127" t="s">
        <v>28</v>
      </c>
      <c r="B21" s="127"/>
      <c r="C21" s="127"/>
      <c r="D21" s="11">
        <f t="shared" si="4"/>
        <v>0</v>
      </c>
      <c r="E21" s="11">
        <f t="shared" si="4"/>
        <v>0</v>
      </c>
      <c r="F21" s="11">
        <f t="shared" si="4"/>
        <v>0</v>
      </c>
      <c r="G21" s="11">
        <f t="shared" si="4"/>
        <v>0</v>
      </c>
      <c r="H21" s="11">
        <f t="shared" si="5"/>
        <v>0</v>
      </c>
      <c r="I21" s="11">
        <f t="shared" si="5"/>
        <v>0</v>
      </c>
      <c r="J21" s="11">
        <f t="shared" si="5"/>
        <v>0</v>
      </c>
      <c r="K21" s="11">
        <f>K17+K19</f>
        <v>0</v>
      </c>
    </row>
    <row r="22" spans="1:16" ht="15" customHeight="1" x14ac:dyDescent="0.2">
      <c r="A22" s="9">
        <v>5</v>
      </c>
      <c r="B22" s="118" t="s">
        <v>29</v>
      </c>
      <c r="C22" s="118"/>
      <c r="D22" s="26">
        <f t="shared" ref="D22:E22" si="6">D16*8.5</f>
        <v>0</v>
      </c>
      <c r="E22" s="26">
        <f t="shared" si="6"/>
        <v>0</v>
      </c>
      <c r="F22" s="26">
        <f t="shared" ref="F22:H25" si="7">F16*8.5</f>
        <v>0</v>
      </c>
      <c r="G22" s="26">
        <f t="shared" si="7"/>
        <v>0</v>
      </c>
      <c r="H22" s="26">
        <f>H16*8.5</f>
        <v>0</v>
      </c>
      <c r="I22" s="26">
        <f>I16*5.5</f>
        <v>0</v>
      </c>
      <c r="J22" s="26">
        <f>J16*5.5</f>
        <v>0</v>
      </c>
      <c r="K22" s="20">
        <f>SUM(D22:J22)</f>
        <v>0</v>
      </c>
    </row>
    <row r="23" spans="1:16" ht="15" customHeight="1" x14ac:dyDescent="0.2">
      <c r="A23" s="9">
        <v>6</v>
      </c>
      <c r="B23" s="118" t="s">
        <v>30</v>
      </c>
      <c r="C23" s="118"/>
      <c r="D23" s="26">
        <f t="shared" ref="D23:E23" si="8">D17*8.5</f>
        <v>0</v>
      </c>
      <c r="E23" s="26">
        <f t="shared" si="8"/>
        <v>0</v>
      </c>
      <c r="F23" s="26">
        <f t="shared" si="7"/>
        <v>0</v>
      </c>
      <c r="G23" s="26">
        <f t="shared" si="7"/>
        <v>0</v>
      </c>
      <c r="H23" s="26">
        <f t="shared" si="7"/>
        <v>0</v>
      </c>
      <c r="I23" s="26">
        <f t="shared" ref="I23:J25" si="9">I17*5.5</f>
        <v>0</v>
      </c>
      <c r="J23" s="26">
        <f t="shared" si="9"/>
        <v>0</v>
      </c>
      <c r="K23" s="20">
        <f t="shared" ref="K23:K25" si="10">SUM(D23:J23)</f>
        <v>0</v>
      </c>
    </row>
    <row r="24" spans="1:16" ht="15" customHeight="1" x14ac:dyDescent="0.2">
      <c r="A24" s="9">
        <v>7</v>
      </c>
      <c r="B24" s="118" t="s">
        <v>31</v>
      </c>
      <c r="C24" s="118"/>
      <c r="D24" s="26">
        <f t="shared" ref="D24:E24" si="11">D18*8.5</f>
        <v>0</v>
      </c>
      <c r="E24" s="26">
        <f t="shared" si="11"/>
        <v>0</v>
      </c>
      <c r="F24" s="26">
        <f>F18*8.5</f>
        <v>0</v>
      </c>
      <c r="G24" s="26">
        <f t="shared" si="7"/>
        <v>0</v>
      </c>
      <c r="H24" s="26">
        <f t="shared" si="7"/>
        <v>0</v>
      </c>
      <c r="I24" s="26">
        <f t="shared" si="9"/>
        <v>0</v>
      </c>
      <c r="J24" s="26">
        <f t="shared" si="9"/>
        <v>0</v>
      </c>
      <c r="K24" s="20">
        <f t="shared" si="10"/>
        <v>0</v>
      </c>
    </row>
    <row r="25" spans="1:16" ht="15" customHeight="1" x14ac:dyDescent="0.2">
      <c r="A25" s="9">
        <v>8</v>
      </c>
      <c r="B25" s="118" t="s">
        <v>32</v>
      </c>
      <c r="C25" s="118"/>
      <c r="D25" s="26">
        <f t="shared" ref="D25:E25" si="12">D19*8.5</f>
        <v>0</v>
      </c>
      <c r="E25" s="26">
        <f t="shared" si="12"/>
        <v>0</v>
      </c>
      <c r="F25" s="26">
        <f t="shared" si="7"/>
        <v>0</v>
      </c>
      <c r="G25" s="26">
        <f t="shared" si="7"/>
        <v>0</v>
      </c>
      <c r="H25" s="26">
        <f t="shared" si="7"/>
        <v>0</v>
      </c>
      <c r="I25" s="26">
        <f t="shared" si="9"/>
        <v>0</v>
      </c>
      <c r="J25" s="26">
        <f t="shared" si="9"/>
        <v>0</v>
      </c>
      <c r="K25" s="20">
        <f t="shared" si="10"/>
        <v>0</v>
      </c>
    </row>
    <row r="26" spans="1:16" s="6" customFormat="1" ht="15" customHeight="1" x14ac:dyDescent="0.2">
      <c r="A26" s="127" t="s">
        <v>33</v>
      </c>
      <c r="B26" s="127"/>
      <c r="C26" s="127"/>
      <c r="D26" s="11">
        <f>D22+D24</f>
        <v>0</v>
      </c>
      <c r="E26" s="11">
        <f t="shared" ref="E26:J27" si="13">E22+E24</f>
        <v>0</v>
      </c>
      <c r="F26" s="11">
        <f t="shared" si="13"/>
        <v>0</v>
      </c>
      <c r="G26" s="11">
        <f t="shared" si="13"/>
        <v>0</v>
      </c>
      <c r="H26" s="11">
        <f>H22+H24</f>
        <v>0</v>
      </c>
      <c r="I26" s="11">
        <f t="shared" ref="I26:J26" si="14">I22+I24</f>
        <v>0</v>
      </c>
      <c r="J26" s="11">
        <f t="shared" si="14"/>
        <v>0</v>
      </c>
      <c r="K26" s="11">
        <f>K22+K24</f>
        <v>0</v>
      </c>
    </row>
    <row r="27" spans="1:16" s="6" customFormat="1" ht="15" customHeight="1" x14ac:dyDescent="0.2">
      <c r="A27" s="127" t="s">
        <v>34</v>
      </c>
      <c r="B27" s="127"/>
      <c r="C27" s="127"/>
      <c r="D27" s="11">
        <f>D23+D25</f>
        <v>0</v>
      </c>
      <c r="E27" s="11">
        <f t="shared" si="13"/>
        <v>0</v>
      </c>
      <c r="F27" s="11">
        <f t="shared" si="13"/>
        <v>0</v>
      </c>
      <c r="G27" s="11">
        <f t="shared" si="13"/>
        <v>0</v>
      </c>
      <c r="H27" s="11">
        <f t="shared" si="13"/>
        <v>0</v>
      </c>
      <c r="I27" s="11">
        <f t="shared" si="13"/>
        <v>0</v>
      </c>
      <c r="J27" s="11">
        <f t="shared" si="13"/>
        <v>0</v>
      </c>
      <c r="K27" s="11">
        <f>K23+K25</f>
        <v>0</v>
      </c>
    </row>
    <row r="28" spans="1:16" s="10" customFormat="1" ht="15" customHeight="1" x14ac:dyDescent="0.2">
      <c r="A28" s="185" t="s">
        <v>13</v>
      </c>
      <c r="B28" s="185"/>
      <c r="C28" s="185"/>
      <c r="D28" s="202" t="s">
        <v>35</v>
      </c>
      <c r="E28" s="203"/>
      <c r="F28" s="203"/>
      <c r="G28" s="203"/>
      <c r="H28" s="203"/>
      <c r="I28" s="203"/>
      <c r="J28" s="203"/>
      <c r="K28" s="204"/>
    </row>
    <row r="29" spans="1:16" ht="15" customHeight="1" x14ac:dyDescent="0.2">
      <c r="A29" s="185"/>
      <c r="B29" s="185"/>
      <c r="C29" s="185"/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20</v>
      </c>
      <c r="J29" s="12" t="s">
        <v>21</v>
      </c>
      <c r="K29" s="185" t="s">
        <v>22</v>
      </c>
    </row>
    <row r="30" spans="1:16" s="8" customFormat="1" ht="15" customHeight="1" x14ac:dyDescent="0.2">
      <c r="A30" s="185"/>
      <c r="B30" s="185"/>
      <c r="C30" s="185"/>
      <c r="D30" s="21">
        <f>D15</f>
        <v>46118</v>
      </c>
      <c r="E30" s="21">
        <f t="shared" ref="E30:J30" si="15">E15</f>
        <v>46119</v>
      </c>
      <c r="F30" s="21">
        <f t="shared" si="15"/>
        <v>46120</v>
      </c>
      <c r="G30" s="21">
        <f t="shared" si="15"/>
        <v>46121</v>
      </c>
      <c r="H30" s="21">
        <f t="shared" si="15"/>
        <v>46122</v>
      </c>
      <c r="I30" s="21">
        <f t="shared" si="15"/>
        <v>46123</v>
      </c>
      <c r="J30" s="21">
        <f t="shared" si="15"/>
        <v>46124</v>
      </c>
      <c r="K30" s="185"/>
      <c r="P30" s="56"/>
    </row>
    <row r="31" spans="1:16" ht="15" customHeight="1" x14ac:dyDescent="0.2">
      <c r="A31" s="9">
        <v>9</v>
      </c>
      <c r="B31" s="118" t="s">
        <v>23</v>
      </c>
      <c r="C31" s="118"/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0">
        <f>AVERAGE(D31:J31)</f>
        <v>0</v>
      </c>
    </row>
    <row r="32" spans="1:16" ht="15" customHeight="1" x14ac:dyDescent="0.2">
      <c r="A32" s="9">
        <v>10</v>
      </c>
      <c r="B32" s="118" t="s">
        <v>24</v>
      </c>
      <c r="C32" s="118"/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0">
        <f t="shared" ref="K32:K33" si="16">AVERAGE(D32:J32)</f>
        <v>0</v>
      </c>
    </row>
    <row r="33" spans="1:16" ht="15" customHeight="1" x14ac:dyDescent="0.2">
      <c r="A33" s="9">
        <v>11</v>
      </c>
      <c r="B33" s="118" t="s">
        <v>25</v>
      </c>
      <c r="C33" s="118"/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0">
        <f t="shared" si="16"/>
        <v>0</v>
      </c>
    </row>
    <row r="34" spans="1:16" ht="15" customHeight="1" x14ac:dyDescent="0.2">
      <c r="A34" s="9">
        <v>12</v>
      </c>
      <c r="B34" s="118" t="s">
        <v>26</v>
      </c>
      <c r="C34" s="118"/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0">
        <f>AVERAGE(D34:J34)</f>
        <v>0</v>
      </c>
    </row>
    <row r="35" spans="1:16" s="6" customFormat="1" ht="15" customHeight="1" x14ac:dyDescent="0.2">
      <c r="A35" s="127" t="s">
        <v>27</v>
      </c>
      <c r="B35" s="127"/>
      <c r="C35" s="127"/>
      <c r="D35" s="11">
        <f t="shared" ref="D35:G35" si="17">D31+D33</f>
        <v>0</v>
      </c>
      <c r="E35" s="11">
        <f t="shared" si="17"/>
        <v>0</v>
      </c>
      <c r="F35" s="11">
        <f t="shared" si="17"/>
        <v>0</v>
      </c>
      <c r="G35" s="11">
        <f t="shared" si="17"/>
        <v>0</v>
      </c>
      <c r="H35" s="11">
        <f>H31+H33</f>
        <v>0</v>
      </c>
      <c r="I35" s="11">
        <f t="shared" ref="I35:J35" si="18">I31+I33</f>
        <v>0</v>
      </c>
      <c r="J35" s="11">
        <f t="shared" si="18"/>
        <v>0</v>
      </c>
      <c r="K35" s="11">
        <f>K31+K33</f>
        <v>0</v>
      </c>
    </row>
    <row r="36" spans="1:16" s="6" customFormat="1" ht="15" customHeight="1" x14ac:dyDescent="0.2">
      <c r="A36" s="127" t="s">
        <v>28</v>
      </c>
      <c r="B36" s="127"/>
      <c r="C36" s="127"/>
      <c r="D36" s="11">
        <f t="shared" ref="D36:J36" si="19">D32+D34</f>
        <v>0</v>
      </c>
      <c r="E36" s="11">
        <f t="shared" si="19"/>
        <v>0</v>
      </c>
      <c r="F36" s="11">
        <f t="shared" si="19"/>
        <v>0</v>
      </c>
      <c r="G36" s="11">
        <f t="shared" si="19"/>
        <v>0</v>
      </c>
      <c r="H36" s="11">
        <f t="shared" si="19"/>
        <v>0</v>
      </c>
      <c r="I36" s="11">
        <f t="shared" si="19"/>
        <v>0</v>
      </c>
      <c r="J36" s="11">
        <f t="shared" si="19"/>
        <v>0</v>
      </c>
      <c r="K36" s="11">
        <f>K32+K34</f>
        <v>0</v>
      </c>
    </row>
    <row r="37" spans="1:16" ht="15" customHeight="1" x14ac:dyDescent="0.2">
      <c r="A37" s="9">
        <v>13</v>
      </c>
      <c r="B37" s="118" t="s">
        <v>29</v>
      </c>
      <c r="C37" s="118"/>
      <c r="D37" s="26">
        <f t="shared" ref="D37:G37" si="20">D31*8.5</f>
        <v>0</v>
      </c>
      <c r="E37" s="26">
        <f t="shared" si="20"/>
        <v>0</v>
      </c>
      <c r="F37" s="26">
        <f t="shared" si="20"/>
        <v>0</v>
      </c>
      <c r="G37" s="26">
        <f t="shared" si="20"/>
        <v>0</v>
      </c>
      <c r="H37" s="26">
        <f>H31*8.5</f>
        <v>0</v>
      </c>
      <c r="I37" s="26">
        <f>I31*5.5</f>
        <v>0</v>
      </c>
      <c r="J37" s="26">
        <f>J31*5.5</f>
        <v>0</v>
      </c>
      <c r="K37" s="20">
        <f>SUM(D37:J37)</f>
        <v>0</v>
      </c>
    </row>
    <row r="38" spans="1:16" ht="15" customHeight="1" x14ac:dyDescent="0.2">
      <c r="A38" s="9">
        <v>14</v>
      </c>
      <c r="B38" s="118" t="s">
        <v>30</v>
      </c>
      <c r="C38" s="118"/>
      <c r="D38" s="26">
        <f t="shared" ref="D38:H38" si="21">D32*8.5</f>
        <v>0</v>
      </c>
      <c r="E38" s="26">
        <f t="shared" si="21"/>
        <v>0</v>
      </c>
      <c r="F38" s="26">
        <f t="shared" si="21"/>
        <v>0</v>
      </c>
      <c r="G38" s="26">
        <f t="shared" si="21"/>
        <v>0</v>
      </c>
      <c r="H38" s="26">
        <f t="shared" si="21"/>
        <v>0</v>
      </c>
      <c r="I38" s="26">
        <f t="shared" ref="I38:J38" si="22">I32*5.5</f>
        <v>0</v>
      </c>
      <c r="J38" s="26">
        <f t="shared" si="22"/>
        <v>0</v>
      </c>
      <c r="K38" s="20">
        <f t="shared" ref="K38:K40" si="23">SUM(D38:J38)</f>
        <v>0</v>
      </c>
    </row>
    <row r="39" spans="1:16" ht="15" customHeight="1" x14ac:dyDescent="0.2">
      <c r="A39" s="9">
        <v>15</v>
      </c>
      <c r="B39" s="118" t="s">
        <v>31</v>
      </c>
      <c r="C39" s="118"/>
      <c r="D39" s="26">
        <f t="shared" ref="D39:E39" si="24">D33*8.5</f>
        <v>0</v>
      </c>
      <c r="E39" s="26">
        <f t="shared" si="24"/>
        <v>0</v>
      </c>
      <c r="F39" s="26">
        <f>F33*8.5</f>
        <v>0</v>
      </c>
      <c r="G39" s="26">
        <f t="shared" ref="G39:H39" si="25">G33*8.5</f>
        <v>0</v>
      </c>
      <c r="H39" s="26">
        <f t="shared" si="25"/>
        <v>0</v>
      </c>
      <c r="I39" s="26">
        <f t="shared" ref="I39:J39" si="26">I33*5.5</f>
        <v>0</v>
      </c>
      <c r="J39" s="26">
        <f t="shared" si="26"/>
        <v>0</v>
      </c>
      <c r="K39" s="20">
        <f t="shared" si="23"/>
        <v>0</v>
      </c>
    </row>
    <row r="40" spans="1:16" ht="15" customHeight="1" x14ac:dyDescent="0.2">
      <c r="A40" s="9">
        <v>16</v>
      </c>
      <c r="B40" s="118" t="s">
        <v>32</v>
      </c>
      <c r="C40" s="118"/>
      <c r="D40" s="26">
        <f t="shared" ref="D40:H40" si="27">D34*8.5</f>
        <v>0</v>
      </c>
      <c r="E40" s="26">
        <f t="shared" si="27"/>
        <v>0</v>
      </c>
      <c r="F40" s="26">
        <f t="shared" si="27"/>
        <v>0</v>
      </c>
      <c r="G40" s="26">
        <f t="shared" si="27"/>
        <v>0</v>
      </c>
      <c r="H40" s="26">
        <f t="shared" si="27"/>
        <v>0</v>
      </c>
      <c r="I40" s="26">
        <f t="shared" ref="I40:J40" si="28">I34*5.5</f>
        <v>0</v>
      </c>
      <c r="J40" s="26">
        <f t="shared" si="28"/>
        <v>0</v>
      </c>
      <c r="K40" s="20">
        <f t="shared" si="23"/>
        <v>0</v>
      </c>
    </row>
    <row r="41" spans="1:16" s="6" customFormat="1" ht="15" customHeight="1" x14ac:dyDescent="0.2">
      <c r="A41" s="127" t="s">
        <v>33</v>
      </c>
      <c r="B41" s="127"/>
      <c r="C41" s="127"/>
      <c r="D41" s="11">
        <f>D37+D39</f>
        <v>0</v>
      </c>
      <c r="E41" s="11">
        <f t="shared" ref="E41:G41" si="29">E37+E39</f>
        <v>0</v>
      </c>
      <c r="F41" s="11">
        <f t="shared" si="29"/>
        <v>0</v>
      </c>
      <c r="G41" s="11">
        <f t="shared" si="29"/>
        <v>0</v>
      </c>
      <c r="H41" s="11">
        <f>H37+H39</f>
        <v>0</v>
      </c>
      <c r="I41" s="11">
        <f t="shared" ref="I41:J41" si="30">I37+I39</f>
        <v>0</v>
      </c>
      <c r="J41" s="11">
        <f t="shared" si="30"/>
        <v>0</v>
      </c>
      <c r="K41" s="11">
        <f>K37+K39</f>
        <v>0</v>
      </c>
    </row>
    <row r="42" spans="1:16" s="6" customFormat="1" ht="15" customHeight="1" x14ac:dyDescent="0.2">
      <c r="A42" s="127" t="s">
        <v>34</v>
      </c>
      <c r="B42" s="127"/>
      <c r="C42" s="127"/>
      <c r="D42" s="11">
        <f>D38+D40</f>
        <v>0</v>
      </c>
      <c r="E42" s="11">
        <f t="shared" ref="E42:J42" si="31">E38+E40</f>
        <v>0</v>
      </c>
      <c r="F42" s="11">
        <f t="shared" si="31"/>
        <v>0</v>
      </c>
      <c r="G42" s="11">
        <f t="shared" si="31"/>
        <v>0</v>
      </c>
      <c r="H42" s="11">
        <f t="shared" si="31"/>
        <v>0</v>
      </c>
      <c r="I42" s="11">
        <f t="shared" si="31"/>
        <v>0</v>
      </c>
      <c r="J42" s="11">
        <f t="shared" si="31"/>
        <v>0</v>
      </c>
      <c r="K42" s="11">
        <f>K38+K40</f>
        <v>0</v>
      </c>
    </row>
    <row r="43" spans="1:16" s="10" customFormat="1" ht="15" customHeight="1" x14ac:dyDescent="0.2">
      <c r="A43" s="185" t="s">
        <v>13</v>
      </c>
      <c r="B43" s="185"/>
      <c r="C43" s="185"/>
      <c r="D43" s="202" t="s">
        <v>36</v>
      </c>
      <c r="E43" s="203"/>
      <c r="F43" s="203"/>
      <c r="G43" s="203"/>
      <c r="H43" s="203"/>
      <c r="I43" s="203"/>
      <c r="J43" s="203"/>
      <c r="K43" s="204"/>
    </row>
    <row r="44" spans="1:16" ht="15" customHeight="1" x14ac:dyDescent="0.2">
      <c r="A44" s="185"/>
      <c r="B44" s="185"/>
      <c r="C44" s="185"/>
      <c r="D44" s="12" t="s">
        <v>15</v>
      </c>
      <c r="E44" s="12" t="s">
        <v>16</v>
      </c>
      <c r="F44" s="12" t="s">
        <v>17</v>
      </c>
      <c r="G44" s="12" t="s">
        <v>18</v>
      </c>
      <c r="H44" s="12" t="s">
        <v>19</v>
      </c>
      <c r="I44" s="12" t="s">
        <v>20</v>
      </c>
      <c r="J44" s="12" t="s">
        <v>21</v>
      </c>
      <c r="K44" s="185" t="s">
        <v>22</v>
      </c>
    </row>
    <row r="45" spans="1:16" s="8" customFormat="1" ht="15" customHeight="1" x14ac:dyDescent="0.2">
      <c r="A45" s="185"/>
      <c r="B45" s="185"/>
      <c r="C45" s="185"/>
      <c r="D45" s="21">
        <f>D30</f>
        <v>46118</v>
      </c>
      <c r="E45" s="21">
        <f t="shared" ref="E45:J45" si="32">E30</f>
        <v>46119</v>
      </c>
      <c r="F45" s="21">
        <f t="shared" si="32"/>
        <v>46120</v>
      </c>
      <c r="G45" s="21">
        <f t="shared" si="32"/>
        <v>46121</v>
      </c>
      <c r="H45" s="21">
        <f t="shared" si="32"/>
        <v>46122</v>
      </c>
      <c r="I45" s="21">
        <f t="shared" si="32"/>
        <v>46123</v>
      </c>
      <c r="J45" s="21">
        <f t="shared" si="32"/>
        <v>46124</v>
      </c>
      <c r="K45" s="185"/>
      <c r="P45" s="56"/>
    </row>
    <row r="46" spans="1:16" ht="15" customHeight="1" x14ac:dyDescent="0.2">
      <c r="A46" s="9">
        <v>17</v>
      </c>
      <c r="B46" s="118" t="s">
        <v>23</v>
      </c>
      <c r="C46" s="118"/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0">
        <f>AVERAGE(D46:J46)</f>
        <v>0</v>
      </c>
    </row>
    <row r="47" spans="1:16" ht="15" customHeight="1" x14ac:dyDescent="0.2">
      <c r="A47" s="9">
        <v>18</v>
      </c>
      <c r="B47" s="118" t="s">
        <v>24</v>
      </c>
      <c r="C47" s="118"/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0">
        <f t="shared" ref="K47:K48" si="33">AVERAGE(D47:J47)</f>
        <v>0</v>
      </c>
    </row>
    <row r="48" spans="1:16" ht="15" customHeight="1" x14ac:dyDescent="0.2">
      <c r="A48" s="9">
        <v>19</v>
      </c>
      <c r="B48" s="118" t="s">
        <v>25</v>
      </c>
      <c r="C48" s="118"/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0">
        <f t="shared" si="33"/>
        <v>0</v>
      </c>
    </row>
    <row r="49" spans="1:16" ht="15" customHeight="1" x14ac:dyDescent="0.2">
      <c r="A49" s="9">
        <v>20</v>
      </c>
      <c r="B49" s="118" t="s">
        <v>26</v>
      </c>
      <c r="C49" s="118"/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0">
        <f>AVERAGE(D49:J49)</f>
        <v>0</v>
      </c>
    </row>
    <row r="50" spans="1:16" s="6" customFormat="1" ht="15" customHeight="1" x14ac:dyDescent="0.2">
      <c r="A50" s="127" t="s">
        <v>27</v>
      </c>
      <c r="B50" s="127"/>
      <c r="C50" s="127"/>
      <c r="D50" s="11">
        <f t="shared" ref="D50:G50" si="34">D46+D48</f>
        <v>0</v>
      </c>
      <c r="E50" s="11">
        <f t="shared" si="34"/>
        <v>0</v>
      </c>
      <c r="F50" s="11">
        <f t="shared" si="34"/>
        <v>0</v>
      </c>
      <c r="G50" s="11">
        <f t="shared" si="34"/>
        <v>0</v>
      </c>
      <c r="H50" s="11">
        <f>H46+H48</f>
        <v>0</v>
      </c>
      <c r="I50" s="11">
        <f t="shared" ref="I50:J50" si="35">I46+I48</f>
        <v>0</v>
      </c>
      <c r="J50" s="11">
        <f t="shared" si="35"/>
        <v>0</v>
      </c>
      <c r="K50" s="11">
        <f>K46+K48</f>
        <v>0</v>
      </c>
    </row>
    <row r="51" spans="1:16" s="6" customFormat="1" ht="15" customHeight="1" x14ac:dyDescent="0.2">
      <c r="A51" s="127" t="s">
        <v>28</v>
      </c>
      <c r="B51" s="127"/>
      <c r="C51" s="127"/>
      <c r="D51" s="11">
        <f t="shared" ref="D51:J51" si="36">D47+D49</f>
        <v>0</v>
      </c>
      <c r="E51" s="11">
        <f t="shared" si="36"/>
        <v>0</v>
      </c>
      <c r="F51" s="11">
        <f t="shared" si="36"/>
        <v>0</v>
      </c>
      <c r="G51" s="11">
        <f t="shared" si="36"/>
        <v>0</v>
      </c>
      <c r="H51" s="11">
        <f t="shared" si="36"/>
        <v>0</v>
      </c>
      <c r="I51" s="11">
        <f t="shared" si="36"/>
        <v>0</v>
      </c>
      <c r="J51" s="11">
        <f t="shared" si="36"/>
        <v>0</v>
      </c>
      <c r="K51" s="11">
        <f>K47+K49</f>
        <v>0</v>
      </c>
    </row>
    <row r="52" spans="1:16" ht="15" customHeight="1" x14ac:dyDescent="0.2">
      <c r="A52" s="9">
        <v>21</v>
      </c>
      <c r="B52" s="118" t="s">
        <v>29</v>
      </c>
      <c r="C52" s="118"/>
      <c r="D52" s="26">
        <f t="shared" ref="D52:G52" si="37">D46*8.5</f>
        <v>0</v>
      </c>
      <c r="E52" s="26">
        <f t="shared" si="37"/>
        <v>0</v>
      </c>
      <c r="F52" s="26">
        <f t="shared" si="37"/>
        <v>0</v>
      </c>
      <c r="G52" s="26">
        <f t="shared" si="37"/>
        <v>0</v>
      </c>
      <c r="H52" s="26">
        <f>H46*8.5</f>
        <v>0</v>
      </c>
      <c r="I52" s="26">
        <f>I46*5.5</f>
        <v>0</v>
      </c>
      <c r="J52" s="26">
        <f>J46*5.5</f>
        <v>0</v>
      </c>
      <c r="K52" s="20">
        <f>SUM(D52:J52)</f>
        <v>0</v>
      </c>
    </row>
    <row r="53" spans="1:16" ht="15" customHeight="1" x14ac:dyDescent="0.2">
      <c r="A53" s="9">
        <v>22</v>
      </c>
      <c r="B53" s="118" t="s">
        <v>30</v>
      </c>
      <c r="C53" s="118"/>
      <c r="D53" s="26">
        <f t="shared" ref="D53:H53" si="38">D47*8.5</f>
        <v>0</v>
      </c>
      <c r="E53" s="26">
        <f t="shared" si="38"/>
        <v>0</v>
      </c>
      <c r="F53" s="26">
        <f t="shared" si="38"/>
        <v>0</v>
      </c>
      <c r="G53" s="26">
        <f t="shared" si="38"/>
        <v>0</v>
      </c>
      <c r="H53" s="26">
        <f t="shared" si="38"/>
        <v>0</v>
      </c>
      <c r="I53" s="26">
        <f t="shared" ref="I53:J53" si="39">I47*5.5</f>
        <v>0</v>
      </c>
      <c r="J53" s="26">
        <f t="shared" si="39"/>
        <v>0</v>
      </c>
      <c r="K53" s="20">
        <f t="shared" ref="K53:K55" si="40">SUM(D53:J53)</f>
        <v>0</v>
      </c>
    </row>
    <row r="54" spans="1:16" ht="15" customHeight="1" x14ac:dyDescent="0.2">
      <c r="A54" s="9">
        <v>23</v>
      </c>
      <c r="B54" s="118" t="s">
        <v>31</v>
      </c>
      <c r="C54" s="118"/>
      <c r="D54" s="26">
        <f t="shared" ref="D54:E54" si="41">D48*8.5</f>
        <v>0</v>
      </c>
      <c r="E54" s="26">
        <f t="shared" si="41"/>
        <v>0</v>
      </c>
      <c r="F54" s="26">
        <f>F48*8.5</f>
        <v>0</v>
      </c>
      <c r="G54" s="26">
        <f t="shared" ref="G54:H54" si="42">G48*8.5</f>
        <v>0</v>
      </c>
      <c r="H54" s="26">
        <f t="shared" si="42"/>
        <v>0</v>
      </c>
      <c r="I54" s="26">
        <f t="shared" ref="I54:J54" si="43">I48*5.5</f>
        <v>0</v>
      </c>
      <c r="J54" s="26">
        <f t="shared" si="43"/>
        <v>0</v>
      </c>
      <c r="K54" s="20">
        <f t="shared" si="40"/>
        <v>0</v>
      </c>
    </row>
    <row r="55" spans="1:16" ht="15" customHeight="1" x14ac:dyDescent="0.2">
      <c r="A55" s="9">
        <v>24</v>
      </c>
      <c r="B55" s="118" t="s">
        <v>32</v>
      </c>
      <c r="C55" s="118"/>
      <c r="D55" s="26">
        <f t="shared" ref="D55:H55" si="44">D49*8.5</f>
        <v>0</v>
      </c>
      <c r="E55" s="26">
        <f t="shared" si="44"/>
        <v>0</v>
      </c>
      <c r="F55" s="26">
        <f t="shared" si="44"/>
        <v>0</v>
      </c>
      <c r="G55" s="26">
        <f t="shared" si="44"/>
        <v>0</v>
      </c>
      <c r="H55" s="26">
        <f t="shared" si="44"/>
        <v>0</v>
      </c>
      <c r="I55" s="26">
        <f t="shared" ref="I55:J55" si="45">I49*5.5</f>
        <v>0</v>
      </c>
      <c r="J55" s="26">
        <f t="shared" si="45"/>
        <v>0</v>
      </c>
      <c r="K55" s="20">
        <f t="shared" si="40"/>
        <v>0</v>
      </c>
    </row>
    <row r="56" spans="1:16" s="6" customFormat="1" ht="15" customHeight="1" x14ac:dyDescent="0.2">
      <c r="A56" s="127" t="s">
        <v>33</v>
      </c>
      <c r="B56" s="127"/>
      <c r="C56" s="127"/>
      <c r="D56" s="11">
        <f>D52+D54</f>
        <v>0</v>
      </c>
      <c r="E56" s="11">
        <f t="shared" ref="E56:G56" si="46">E52+E54</f>
        <v>0</v>
      </c>
      <c r="F56" s="11">
        <f t="shared" si="46"/>
        <v>0</v>
      </c>
      <c r="G56" s="11">
        <f t="shared" si="46"/>
        <v>0</v>
      </c>
      <c r="H56" s="11">
        <f>H52+H54</f>
        <v>0</v>
      </c>
      <c r="I56" s="11">
        <f t="shared" ref="I56:J56" si="47">I52+I54</f>
        <v>0</v>
      </c>
      <c r="J56" s="11">
        <f t="shared" si="47"/>
        <v>0</v>
      </c>
      <c r="K56" s="11">
        <f>K52+K54</f>
        <v>0</v>
      </c>
    </row>
    <row r="57" spans="1:16" s="6" customFormat="1" ht="15" customHeight="1" x14ac:dyDescent="0.2">
      <c r="A57" s="127" t="s">
        <v>34</v>
      </c>
      <c r="B57" s="127"/>
      <c r="C57" s="127"/>
      <c r="D57" s="11">
        <f>D53+D55</f>
        <v>0</v>
      </c>
      <c r="E57" s="11">
        <f t="shared" ref="E57:J57" si="48">E53+E55</f>
        <v>0</v>
      </c>
      <c r="F57" s="11">
        <f t="shared" si="48"/>
        <v>0</v>
      </c>
      <c r="G57" s="11">
        <f t="shared" si="48"/>
        <v>0</v>
      </c>
      <c r="H57" s="11">
        <f t="shared" si="48"/>
        <v>0</v>
      </c>
      <c r="I57" s="11">
        <f t="shared" si="48"/>
        <v>0</v>
      </c>
      <c r="J57" s="11">
        <f t="shared" si="48"/>
        <v>0</v>
      </c>
      <c r="K57" s="11">
        <f>K53+K55</f>
        <v>0</v>
      </c>
    </row>
    <row r="58" spans="1:16" s="10" customFormat="1" ht="15" customHeight="1" x14ac:dyDescent="0.2">
      <c r="A58" s="185" t="s">
        <v>13</v>
      </c>
      <c r="B58" s="185"/>
      <c r="C58" s="185"/>
      <c r="D58" s="202" t="s">
        <v>37</v>
      </c>
      <c r="E58" s="203"/>
      <c r="F58" s="203"/>
      <c r="G58" s="203"/>
      <c r="H58" s="203"/>
      <c r="I58" s="203"/>
      <c r="J58" s="203"/>
      <c r="K58" s="204"/>
    </row>
    <row r="59" spans="1:16" ht="15" customHeight="1" x14ac:dyDescent="0.2">
      <c r="A59" s="185"/>
      <c r="B59" s="185"/>
      <c r="C59" s="185"/>
      <c r="D59" s="12" t="s">
        <v>15</v>
      </c>
      <c r="E59" s="12" t="s">
        <v>16</v>
      </c>
      <c r="F59" s="12" t="s">
        <v>17</v>
      </c>
      <c r="G59" s="12" t="s">
        <v>18</v>
      </c>
      <c r="H59" s="12" t="s">
        <v>19</v>
      </c>
      <c r="I59" s="12" t="s">
        <v>20</v>
      </c>
      <c r="J59" s="12" t="s">
        <v>21</v>
      </c>
      <c r="K59" s="185" t="s">
        <v>22</v>
      </c>
    </row>
    <row r="60" spans="1:16" s="8" customFormat="1" ht="15" customHeight="1" x14ac:dyDescent="0.2">
      <c r="A60" s="185"/>
      <c r="B60" s="185"/>
      <c r="C60" s="185"/>
      <c r="D60" s="21">
        <f>D45</f>
        <v>46118</v>
      </c>
      <c r="E60" s="21">
        <f t="shared" ref="E60:J60" si="49">E45</f>
        <v>46119</v>
      </c>
      <c r="F60" s="21">
        <f t="shared" si="49"/>
        <v>46120</v>
      </c>
      <c r="G60" s="21">
        <f t="shared" si="49"/>
        <v>46121</v>
      </c>
      <c r="H60" s="21">
        <f t="shared" si="49"/>
        <v>46122</v>
      </c>
      <c r="I60" s="21">
        <f t="shared" si="49"/>
        <v>46123</v>
      </c>
      <c r="J60" s="21">
        <f t="shared" si="49"/>
        <v>46124</v>
      </c>
      <c r="K60" s="185"/>
      <c r="P60" s="56"/>
    </row>
    <row r="61" spans="1:16" ht="15" customHeight="1" x14ac:dyDescent="0.2">
      <c r="A61" s="9">
        <v>25</v>
      </c>
      <c r="B61" s="118" t="s">
        <v>23</v>
      </c>
      <c r="C61" s="118"/>
      <c r="D61" s="26">
        <f>D16+D31</f>
        <v>0</v>
      </c>
      <c r="E61" s="26">
        <f t="shared" ref="E61" si="50">E16+E31</f>
        <v>0</v>
      </c>
      <c r="F61" s="26">
        <f>F16+F31</f>
        <v>0</v>
      </c>
      <c r="G61" s="26">
        <f>G16+G31</f>
        <v>0</v>
      </c>
      <c r="H61" s="26">
        <f>H16+H31</f>
        <v>0</v>
      </c>
      <c r="I61" s="26">
        <f>I16+I31</f>
        <v>0</v>
      </c>
      <c r="J61" s="26">
        <f t="shared" ref="J61:J64" si="51">J16+J31+J46</f>
        <v>0</v>
      </c>
      <c r="K61" s="20">
        <f>AVERAGE(D61:J61)</f>
        <v>0</v>
      </c>
    </row>
    <row r="62" spans="1:16" ht="15" customHeight="1" x14ac:dyDescent="0.2">
      <c r="A62" s="9">
        <v>26</v>
      </c>
      <c r="B62" s="118" t="s">
        <v>24</v>
      </c>
      <c r="C62" s="118"/>
      <c r="D62" s="26">
        <f>D17+D32</f>
        <v>0</v>
      </c>
      <c r="E62" s="26">
        <f t="shared" ref="E62" si="52">E17+E32</f>
        <v>0</v>
      </c>
      <c r="F62" s="26">
        <f>F17+F32</f>
        <v>0</v>
      </c>
      <c r="G62" s="26">
        <f t="shared" ref="G62:I64" si="53">G17+G32</f>
        <v>0</v>
      </c>
      <c r="H62" s="26">
        <f t="shared" si="53"/>
        <v>0</v>
      </c>
      <c r="I62" s="26">
        <f t="shared" si="53"/>
        <v>0</v>
      </c>
      <c r="J62" s="26">
        <f t="shared" si="51"/>
        <v>0</v>
      </c>
      <c r="K62" s="20">
        <f>AVERAGE(D62:J62)</f>
        <v>0</v>
      </c>
    </row>
    <row r="63" spans="1:16" ht="15" customHeight="1" x14ac:dyDescent="0.2">
      <c r="A63" s="9">
        <v>27</v>
      </c>
      <c r="B63" s="118" t="s">
        <v>25</v>
      </c>
      <c r="C63" s="118"/>
      <c r="D63" s="26">
        <f>D18+D33</f>
        <v>0</v>
      </c>
      <c r="E63" s="26">
        <f t="shared" ref="E63" si="54">E18+E33</f>
        <v>0</v>
      </c>
      <c r="F63" s="26">
        <f>F18+F33</f>
        <v>0</v>
      </c>
      <c r="G63" s="26">
        <f t="shared" si="53"/>
        <v>0</v>
      </c>
      <c r="H63" s="26">
        <f t="shared" si="53"/>
        <v>0</v>
      </c>
      <c r="I63" s="26">
        <f t="shared" si="53"/>
        <v>0</v>
      </c>
      <c r="J63" s="26">
        <f t="shared" si="51"/>
        <v>0</v>
      </c>
      <c r="K63" s="20">
        <f t="shared" ref="K63:K64" si="55">AVERAGE(D63:J63)</f>
        <v>0</v>
      </c>
    </row>
    <row r="64" spans="1:16" ht="15" customHeight="1" x14ac:dyDescent="0.2">
      <c r="A64" s="9">
        <v>28</v>
      </c>
      <c r="B64" s="118" t="s">
        <v>26</v>
      </c>
      <c r="C64" s="118"/>
      <c r="D64" s="26">
        <f>D19+D34</f>
        <v>0</v>
      </c>
      <c r="E64" s="26">
        <f t="shared" ref="E64" si="56">E19+E34</f>
        <v>0</v>
      </c>
      <c r="F64" s="26">
        <f>F19+F34</f>
        <v>0</v>
      </c>
      <c r="G64" s="26">
        <f t="shared" si="53"/>
        <v>0</v>
      </c>
      <c r="H64" s="26">
        <f t="shared" si="53"/>
        <v>0</v>
      </c>
      <c r="I64" s="26">
        <f t="shared" si="53"/>
        <v>0</v>
      </c>
      <c r="J64" s="26">
        <f t="shared" si="51"/>
        <v>0</v>
      </c>
      <c r="K64" s="20">
        <f t="shared" si="55"/>
        <v>0</v>
      </c>
    </row>
    <row r="65" spans="1:11" s="6" customFormat="1" ht="15" customHeight="1" x14ac:dyDescent="0.2">
      <c r="A65" s="127" t="s">
        <v>27</v>
      </c>
      <c r="B65" s="127"/>
      <c r="C65" s="127"/>
      <c r="D65" s="11">
        <f t="shared" ref="D65:E65" si="57">D61+D63</f>
        <v>0</v>
      </c>
      <c r="E65" s="11">
        <f t="shared" si="57"/>
        <v>0</v>
      </c>
      <c r="F65" s="11">
        <f t="shared" ref="F65:K66" si="58">F61+F63</f>
        <v>0</v>
      </c>
      <c r="G65" s="11">
        <f t="shared" si="58"/>
        <v>0</v>
      </c>
      <c r="H65" s="11">
        <f t="shared" si="58"/>
        <v>0</v>
      </c>
      <c r="I65" s="11">
        <f t="shared" si="58"/>
        <v>0</v>
      </c>
      <c r="J65" s="11">
        <f t="shared" si="58"/>
        <v>0</v>
      </c>
      <c r="K65" s="11">
        <f t="shared" si="58"/>
        <v>0</v>
      </c>
    </row>
    <row r="66" spans="1:11" s="6" customFormat="1" ht="15" customHeight="1" x14ac:dyDescent="0.2">
      <c r="A66" s="127" t="s">
        <v>28</v>
      </c>
      <c r="B66" s="127"/>
      <c r="C66" s="127"/>
      <c r="D66" s="11">
        <f t="shared" ref="D66:E66" si="59">D62+D64</f>
        <v>0</v>
      </c>
      <c r="E66" s="11">
        <f t="shared" si="59"/>
        <v>0</v>
      </c>
      <c r="F66" s="11">
        <f t="shared" si="58"/>
        <v>0</v>
      </c>
      <c r="G66" s="11">
        <f t="shared" si="58"/>
        <v>0</v>
      </c>
      <c r="H66" s="11">
        <f t="shared" si="58"/>
        <v>0</v>
      </c>
      <c r="I66" s="11">
        <f t="shared" si="58"/>
        <v>0</v>
      </c>
      <c r="J66" s="11">
        <f t="shared" si="58"/>
        <v>0</v>
      </c>
      <c r="K66" s="11">
        <f>K62+K64</f>
        <v>0</v>
      </c>
    </row>
    <row r="67" spans="1:11" ht="15" customHeight="1" x14ac:dyDescent="0.2">
      <c r="A67" s="9">
        <v>29</v>
      </c>
      <c r="B67" s="118" t="s">
        <v>29</v>
      </c>
      <c r="C67" s="118"/>
      <c r="D67" s="26">
        <f>D22+D37+D52</f>
        <v>0</v>
      </c>
      <c r="E67" s="26">
        <f t="shared" ref="E67" si="60">E22+E37+E52</f>
        <v>0</v>
      </c>
      <c r="F67" s="26">
        <f t="shared" ref="F67:J70" si="61">F22+F37+F52</f>
        <v>0</v>
      </c>
      <c r="G67" s="26">
        <f t="shared" si="61"/>
        <v>0</v>
      </c>
      <c r="H67" s="26">
        <f t="shared" si="61"/>
        <v>0</v>
      </c>
      <c r="I67" s="26">
        <f t="shared" si="61"/>
        <v>0</v>
      </c>
      <c r="J67" s="26">
        <f t="shared" si="61"/>
        <v>0</v>
      </c>
      <c r="K67" s="20">
        <f>SUM(D67:J67)</f>
        <v>0</v>
      </c>
    </row>
    <row r="68" spans="1:11" ht="15" customHeight="1" x14ac:dyDescent="0.2">
      <c r="A68" s="9">
        <v>30</v>
      </c>
      <c r="B68" s="118" t="s">
        <v>30</v>
      </c>
      <c r="C68" s="118"/>
      <c r="D68" s="26">
        <f>D23+D38+D53</f>
        <v>0</v>
      </c>
      <c r="E68" s="26">
        <f t="shared" ref="E68" si="62">E23+E38+E53</f>
        <v>0</v>
      </c>
      <c r="F68" s="26">
        <f t="shared" si="61"/>
        <v>0</v>
      </c>
      <c r="G68" s="26">
        <f t="shared" si="61"/>
        <v>0</v>
      </c>
      <c r="H68" s="26">
        <f t="shared" si="61"/>
        <v>0</v>
      </c>
      <c r="I68" s="26">
        <f t="shared" si="61"/>
        <v>0</v>
      </c>
      <c r="J68" s="26">
        <f t="shared" si="61"/>
        <v>0</v>
      </c>
      <c r="K68" s="20">
        <f>SUM(D68:J68)</f>
        <v>0</v>
      </c>
    </row>
    <row r="69" spans="1:11" ht="15" customHeight="1" x14ac:dyDescent="0.2">
      <c r="A69" s="9">
        <v>31</v>
      </c>
      <c r="B69" s="118" t="s">
        <v>31</v>
      </c>
      <c r="C69" s="118"/>
      <c r="D69" s="26">
        <f>D24+D39+D54</f>
        <v>0</v>
      </c>
      <c r="E69" s="26">
        <f t="shared" ref="E69" si="63">E24+E39+E54</f>
        <v>0</v>
      </c>
      <c r="F69" s="26">
        <f t="shared" si="61"/>
        <v>0</v>
      </c>
      <c r="G69" s="26">
        <f t="shared" si="61"/>
        <v>0</v>
      </c>
      <c r="H69" s="26">
        <f t="shared" si="61"/>
        <v>0</v>
      </c>
      <c r="I69" s="26">
        <f t="shared" si="61"/>
        <v>0</v>
      </c>
      <c r="J69" s="26">
        <f t="shared" si="61"/>
        <v>0</v>
      </c>
      <c r="K69" s="20">
        <f>SUM(D69:J69)</f>
        <v>0</v>
      </c>
    </row>
    <row r="70" spans="1:11" ht="15" customHeight="1" x14ac:dyDescent="0.2">
      <c r="A70" s="9">
        <v>32</v>
      </c>
      <c r="B70" s="118" t="s">
        <v>32</v>
      </c>
      <c r="C70" s="118"/>
      <c r="D70" s="26">
        <f>D25+D40+D55</f>
        <v>0</v>
      </c>
      <c r="E70" s="26">
        <f t="shared" ref="E70" si="64">E25+E40+E55</f>
        <v>0</v>
      </c>
      <c r="F70" s="26">
        <f t="shared" si="61"/>
        <v>0</v>
      </c>
      <c r="G70" s="26">
        <f t="shared" si="61"/>
        <v>0</v>
      </c>
      <c r="H70" s="26">
        <f t="shared" si="61"/>
        <v>0</v>
      </c>
      <c r="I70" s="26">
        <f t="shared" si="61"/>
        <v>0</v>
      </c>
      <c r="J70" s="26">
        <f t="shared" si="61"/>
        <v>0</v>
      </c>
      <c r="K70" s="20">
        <f>SUM(D70:J70)</f>
        <v>0</v>
      </c>
    </row>
    <row r="71" spans="1:11" s="6" customFormat="1" ht="15" customHeight="1" x14ac:dyDescent="0.2">
      <c r="A71" s="127" t="s">
        <v>33</v>
      </c>
      <c r="B71" s="127"/>
      <c r="C71" s="127"/>
      <c r="D71" s="11">
        <f>D67+D69</f>
        <v>0</v>
      </c>
      <c r="E71" s="11">
        <f t="shared" ref="E71:H72" si="65">E67+E69</f>
        <v>0</v>
      </c>
      <c r="F71" s="11">
        <f t="shared" si="65"/>
        <v>0</v>
      </c>
      <c r="G71" s="11">
        <f t="shared" si="65"/>
        <v>0</v>
      </c>
      <c r="H71" s="11">
        <f t="shared" si="65"/>
        <v>0</v>
      </c>
      <c r="I71" s="11">
        <f>I67+I69</f>
        <v>0</v>
      </c>
      <c r="J71" s="11">
        <f t="shared" ref="J71:K72" si="66">J67+J69</f>
        <v>0</v>
      </c>
      <c r="K71" s="11">
        <f t="shared" si="66"/>
        <v>0</v>
      </c>
    </row>
    <row r="72" spans="1:11" s="6" customFormat="1" ht="15" customHeight="1" x14ac:dyDescent="0.2">
      <c r="A72" s="127" t="s">
        <v>34</v>
      </c>
      <c r="B72" s="127"/>
      <c r="C72" s="127"/>
      <c r="D72" s="11">
        <f>D68+D70</f>
        <v>0</v>
      </c>
      <c r="E72" s="11">
        <f t="shared" si="65"/>
        <v>0</v>
      </c>
      <c r="F72" s="11">
        <f t="shared" si="65"/>
        <v>0</v>
      </c>
      <c r="G72" s="11">
        <f t="shared" si="65"/>
        <v>0</v>
      </c>
      <c r="H72" s="11">
        <f t="shared" si="65"/>
        <v>0</v>
      </c>
      <c r="I72" s="11">
        <f>I68+I70</f>
        <v>0</v>
      </c>
      <c r="J72" s="11">
        <f t="shared" si="66"/>
        <v>0</v>
      </c>
      <c r="K72" s="11">
        <f>K68+K70</f>
        <v>0</v>
      </c>
    </row>
    <row r="73" spans="1:11" ht="45.75" customHeight="1" x14ac:dyDescent="0.2">
      <c r="A73" s="94"/>
      <c r="B73" s="95"/>
      <c r="C73" s="95"/>
      <c r="D73" s="95"/>
      <c r="E73" s="95"/>
      <c r="F73" s="95"/>
      <c r="G73" s="95"/>
      <c r="H73" s="95"/>
      <c r="I73" s="95"/>
      <c r="J73" s="95"/>
      <c r="K73" s="96"/>
    </row>
    <row r="74" spans="1:11" ht="70.5" customHeight="1" x14ac:dyDescent="0.2">
      <c r="A74" s="97"/>
      <c r="B74" s="98"/>
      <c r="C74" s="98"/>
      <c r="D74" s="98"/>
      <c r="E74" s="98"/>
      <c r="F74" s="98"/>
      <c r="G74" s="98"/>
      <c r="H74" s="98"/>
      <c r="I74" s="98"/>
      <c r="J74" s="98"/>
      <c r="K74" s="99"/>
    </row>
    <row r="75" spans="1:11" ht="78" customHeight="1" x14ac:dyDescent="0.2">
      <c r="A75" s="97"/>
      <c r="B75" s="98"/>
      <c r="C75" s="98"/>
      <c r="D75" s="98"/>
      <c r="E75" s="98"/>
      <c r="F75" s="98"/>
      <c r="G75" s="98"/>
      <c r="H75" s="98"/>
      <c r="I75" s="98"/>
      <c r="J75" s="98"/>
      <c r="K75" s="99"/>
    </row>
    <row r="76" spans="1:11" ht="87.75" customHeight="1" x14ac:dyDescent="0.2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9"/>
    </row>
    <row r="77" spans="1:11" ht="70.5" customHeight="1" x14ac:dyDescent="0.2">
      <c r="A77" s="97"/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ht="45.75" customHeight="1" x14ac:dyDescent="0.2">
      <c r="A78" s="98"/>
      <c r="B78" s="245" t="s">
        <v>174</v>
      </c>
      <c r="C78" s="245"/>
      <c r="D78" s="98"/>
      <c r="E78" s="98"/>
      <c r="F78" s="98"/>
      <c r="G78" s="98"/>
      <c r="H78" s="98"/>
      <c r="I78" s="98"/>
      <c r="J78" s="98"/>
      <c r="K78" s="98"/>
    </row>
    <row r="79" spans="1:11" ht="44.25" customHeight="1" x14ac:dyDescent="0.2">
      <c r="A79" s="98"/>
      <c r="B79" s="74" t="s">
        <v>170</v>
      </c>
      <c r="C79" s="75">
        <f>K26+K27</f>
        <v>0</v>
      </c>
      <c r="D79" s="98"/>
      <c r="E79" s="98"/>
      <c r="F79" s="98"/>
      <c r="G79" s="98"/>
      <c r="H79" s="98"/>
      <c r="I79" s="98"/>
      <c r="J79" s="98"/>
      <c r="K79" s="98"/>
    </row>
    <row r="80" spans="1:11" ht="37.5" customHeight="1" x14ac:dyDescent="0.2">
      <c r="A80" s="98"/>
      <c r="B80" s="74" t="s">
        <v>172</v>
      </c>
      <c r="C80" s="75">
        <f>K41+K42</f>
        <v>0</v>
      </c>
      <c r="D80" s="98"/>
      <c r="E80" s="98"/>
      <c r="F80" s="98"/>
      <c r="G80" s="98"/>
      <c r="H80" s="98"/>
      <c r="I80" s="98"/>
      <c r="J80" s="98"/>
      <c r="K80" s="98"/>
    </row>
    <row r="81" spans="1:16" ht="39" customHeight="1" x14ac:dyDescent="0.2">
      <c r="A81" s="98"/>
      <c r="B81" s="74" t="s">
        <v>36</v>
      </c>
      <c r="C81" s="75">
        <f>K56+K57</f>
        <v>0</v>
      </c>
      <c r="D81" s="98"/>
      <c r="E81" s="98"/>
      <c r="F81" s="98"/>
      <c r="G81" s="98"/>
      <c r="H81" s="98"/>
      <c r="I81" s="98"/>
      <c r="J81" s="98"/>
      <c r="K81" s="98"/>
    </row>
    <row r="82" spans="1:16" ht="33" customHeight="1" x14ac:dyDescent="0.2">
      <c r="A82" s="98"/>
      <c r="B82" s="76" t="s">
        <v>173</v>
      </c>
      <c r="C82" s="73">
        <f>SUM(C79:C81)</f>
        <v>0</v>
      </c>
      <c r="D82" s="98"/>
      <c r="E82" s="98"/>
      <c r="F82" s="98"/>
      <c r="G82" s="98"/>
      <c r="H82" s="98"/>
      <c r="I82" s="98"/>
      <c r="J82" s="98"/>
      <c r="K82" s="98"/>
    </row>
    <row r="83" spans="1:16" ht="26.25" customHeight="1" x14ac:dyDescent="0.2">
      <c r="A83" s="246"/>
      <c r="B83" s="134"/>
      <c r="C83" s="134"/>
      <c r="D83" s="247"/>
      <c r="E83" s="247"/>
      <c r="F83" s="247"/>
      <c r="G83" s="247"/>
      <c r="H83" s="247"/>
      <c r="I83" s="247"/>
      <c r="J83" s="247"/>
      <c r="K83" s="248"/>
    </row>
    <row r="84" spans="1:16" s="10" customFormat="1" ht="15" customHeight="1" x14ac:dyDescent="0.2">
      <c r="A84" s="185" t="s">
        <v>38</v>
      </c>
      <c r="B84" s="185"/>
      <c r="C84" s="185"/>
      <c r="D84" s="202" t="s">
        <v>39</v>
      </c>
      <c r="E84" s="203"/>
      <c r="F84" s="203"/>
      <c r="G84" s="203"/>
      <c r="H84" s="203"/>
      <c r="I84" s="203"/>
      <c r="J84" s="203"/>
      <c r="K84" s="204"/>
    </row>
    <row r="85" spans="1:16" ht="15" customHeight="1" x14ac:dyDescent="0.2">
      <c r="A85" s="185"/>
      <c r="B85" s="185"/>
      <c r="C85" s="185"/>
      <c r="D85" s="12" t="s">
        <v>15</v>
      </c>
      <c r="E85" s="12" t="s">
        <v>16</v>
      </c>
      <c r="F85" s="12" t="s">
        <v>17</v>
      </c>
      <c r="G85" s="12" t="s">
        <v>18</v>
      </c>
      <c r="H85" s="12" t="s">
        <v>19</v>
      </c>
      <c r="I85" s="12" t="s">
        <v>20</v>
      </c>
      <c r="J85" s="12" t="s">
        <v>21</v>
      </c>
      <c r="K85" s="185" t="s">
        <v>22</v>
      </c>
    </row>
    <row r="86" spans="1:16" s="8" customFormat="1" ht="15" customHeight="1" x14ac:dyDescent="0.2">
      <c r="A86" s="185"/>
      <c r="B86" s="185"/>
      <c r="C86" s="185"/>
      <c r="D86" s="21">
        <f>D60</f>
        <v>46118</v>
      </c>
      <c r="E86" s="21">
        <f t="shared" ref="E86:J86" si="67">E60</f>
        <v>46119</v>
      </c>
      <c r="F86" s="21">
        <f t="shared" si="67"/>
        <v>46120</v>
      </c>
      <c r="G86" s="21">
        <f t="shared" si="67"/>
        <v>46121</v>
      </c>
      <c r="H86" s="21">
        <f t="shared" si="67"/>
        <v>46122</v>
      </c>
      <c r="I86" s="21">
        <f t="shared" si="67"/>
        <v>46123</v>
      </c>
      <c r="J86" s="21">
        <f t="shared" si="67"/>
        <v>46124</v>
      </c>
      <c r="K86" s="185"/>
      <c r="P86" s="56"/>
    </row>
    <row r="87" spans="1:16" ht="15" customHeight="1" x14ac:dyDescent="0.2">
      <c r="A87" s="9">
        <v>1</v>
      </c>
      <c r="B87" s="118"/>
      <c r="C87" s="118"/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0">
        <f>AVERAGE(D87:J87)</f>
        <v>0</v>
      </c>
    </row>
    <row r="88" spans="1:16" ht="15" customHeight="1" x14ac:dyDescent="0.2">
      <c r="A88" s="9">
        <v>2</v>
      </c>
      <c r="B88" s="118"/>
      <c r="C88" s="118"/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0">
        <f>AVERAGE(D88:J88)</f>
        <v>0</v>
      </c>
    </row>
    <row r="89" spans="1:16" ht="15" customHeight="1" x14ac:dyDescent="0.2">
      <c r="A89" s="9">
        <v>3</v>
      </c>
      <c r="B89" s="118"/>
      <c r="C89" s="118"/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0">
        <f t="shared" ref="K89:K94" si="68">AVERAGE(D89:J89)</f>
        <v>0</v>
      </c>
    </row>
    <row r="90" spans="1:16" ht="15" customHeight="1" x14ac:dyDescent="0.2">
      <c r="A90" s="9">
        <v>4</v>
      </c>
      <c r="B90" s="118"/>
      <c r="C90" s="118"/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0">
        <f t="shared" si="68"/>
        <v>0</v>
      </c>
    </row>
    <row r="91" spans="1:16" ht="15" customHeight="1" x14ac:dyDescent="0.2">
      <c r="A91" s="9">
        <v>5</v>
      </c>
      <c r="B91" s="118"/>
      <c r="C91" s="118"/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0">
        <f t="shared" si="68"/>
        <v>0</v>
      </c>
    </row>
    <row r="92" spans="1:16" ht="15" customHeight="1" x14ac:dyDescent="0.2">
      <c r="A92" s="9">
        <v>6</v>
      </c>
      <c r="B92" s="118"/>
      <c r="C92" s="118"/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0">
        <f t="shared" si="68"/>
        <v>0</v>
      </c>
    </row>
    <row r="93" spans="1:16" ht="15" customHeight="1" x14ac:dyDescent="0.2">
      <c r="A93" s="9">
        <v>7</v>
      </c>
      <c r="B93" s="118"/>
      <c r="C93" s="118"/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0">
        <f t="shared" si="68"/>
        <v>0</v>
      </c>
    </row>
    <row r="94" spans="1:16" ht="15" customHeight="1" x14ac:dyDescent="0.2">
      <c r="A94" s="9">
        <v>8</v>
      </c>
      <c r="B94" s="118"/>
      <c r="C94" s="118"/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0">
        <f t="shared" si="68"/>
        <v>0</v>
      </c>
    </row>
    <row r="95" spans="1:16" s="6" customFormat="1" ht="15" customHeight="1" x14ac:dyDescent="0.2">
      <c r="A95" s="127" t="s">
        <v>40</v>
      </c>
      <c r="B95" s="127"/>
      <c r="C95" s="127"/>
      <c r="D95" s="11">
        <f>SUM(D87:D94)</f>
        <v>0</v>
      </c>
      <c r="E95" s="11">
        <f t="shared" ref="E95" si="69">SUM(E87:E94)</f>
        <v>0</v>
      </c>
      <c r="F95" s="11">
        <f t="shared" ref="F95:K95" si="70">SUM(F87:F94)</f>
        <v>0</v>
      </c>
      <c r="G95" s="11">
        <f t="shared" si="70"/>
        <v>0</v>
      </c>
      <c r="H95" s="11">
        <f t="shared" si="70"/>
        <v>0</v>
      </c>
      <c r="I95" s="11">
        <f t="shared" si="70"/>
        <v>0</v>
      </c>
      <c r="J95" s="11">
        <f t="shared" si="70"/>
        <v>0</v>
      </c>
      <c r="K95" s="11">
        <f t="shared" si="70"/>
        <v>0</v>
      </c>
    </row>
    <row r="96" spans="1:16" ht="12.95" customHeight="1" x14ac:dyDescent="0.2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</row>
    <row r="97" spans="1:14" s="72" customFormat="1" ht="27" customHeight="1" x14ac:dyDescent="0.2">
      <c r="A97" s="221" t="s">
        <v>175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3"/>
    </row>
    <row r="98" spans="1:14" s="72" customFormat="1" ht="6" customHeight="1" x14ac:dyDescent="0.2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 spans="1:14" s="77" customFormat="1" ht="22.5" customHeight="1" x14ac:dyDescent="0.2">
      <c r="A99" s="227" t="s">
        <v>176</v>
      </c>
      <c r="B99" s="228"/>
      <c r="C99" s="228"/>
      <c r="D99" s="228"/>
      <c r="E99" s="228"/>
      <c r="F99" s="228"/>
      <c r="G99" s="228"/>
      <c r="H99" s="228"/>
      <c r="I99" s="228"/>
      <c r="J99" s="228"/>
      <c r="K99" s="229"/>
    </row>
    <row r="100" spans="1:14" s="72" customFormat="1" ht="33" customHeight="1" x14ac:dyDescent="0.2">
      <c r="A100" s="249" t="s">
        <v>42</v>
      </c>
      <c r="B100" s="250"/>
      <c r="C100" s="103" t="s">
        <v>177</v>
      </c>
      <c r="D100" s="252" t="s">
        <v>81</v>
      </c>
      <c r="E100" s="253"/>
      <c r="F100" s="254"/>
      <c r="G100" s="102" t="s">
        <v>195</v>
      </c>
      <c r="H100" s="102" t="s">
        <v>196</v>
      </c>
      <c r="I100" s="101" t="s">
        <v>82</v>
      </c>
      <c r="J100" s="101" t="s">
        <v>83</v>
      </c>
      <c r="K100" s="101" t="s">
        <v>84</v>
      </c>
    </row>
    <row r="101" spans="1:14" s="72" customFormat="1" ht="28.5" customHeight="1" x14ac:dyDescent="0.2">
      <c r="A101" s="244"/>
      <c r="B101" s="244"/>
      <c r="C101" s="281"/>
      <c r="D101" s="278"/>
      <c r="E101" s="279"/>
      <c r="F101" s="280"/>
      <c r="G101" s="282"/>
      <c r="H101" s="276"/>
      <c r="I101" s="276"/>
      <c r="J101" s="78">
        <f>G101*I101</f>
        <v>0</v>
      </c>
      <c r="K101" s="78">
        <f>H101*I101</f>
        <v>0</v>
      </c>
      <c r="N101" s="105" t="s">
        <v>178</v>
      </c>
    </row>
    <row r="102" spans="1:14" s="72" customFormat="1" ht="32.25" customHeight="1" x14ac:dyDescent="0.2">
      <c r="A102" s="244"/>
      <c r="B102" s="244"/>
      <c r="C102" s="281"/>
      <c r="D102" s="278"/>
      <c r="E102" s="279"/>
      <c r="F102" s="280"/>
      <c r="G102" s="282"/>
      <c r="H102" s="276"/>
      <c r="I102" s="276"/>
      <c r="J102" s="78">
        <f>G102*I102</f>
        <v>0</v>
      </c>
      <c r="K102" s="78">
        <f>H102*I102</f>
        <v>0</v>
      </c>
      <c r="N102" s="105" t="s">
        <v>179</v>
      </c>
    </row>
    <row r="103" spans="1:14" s="72" customFormat="1" ht="30.75" customHeight="1" x14ac:dyDescent="0.2">
      <c r="A103" s="244"/>
      <c r="B103" s="244"/>
      <c r="C103" s="281"/>
      <c r="D103" s="278"/>
      <c r="E103" s="279"/>
      <c r="F103" s="280"/>
      <c r="G103" s="282"/>
      <c r="H103" s="276"/>
      <c r="I103" s="276"/>
      <c r="J103" s="78">
        <f t="shared" ref="J103:J119" si="71">G103*I103</f>
        <v>0</v>
      </c>
      <c r="K103" s="78">
        <f t="shared" ref="K103:K119" si="72">H103*I103</f>
        <v>0</v>
      </c>
      <c r="N103" s="105" t="s">
        <v>197</v>
      </c>
    </row>
    <row r="104" spans="1:14" s="72" customFormat="1" ht="30.75" customHeight="1" x14ac:dyDescent="0.2">
      <c r="A104" s="244"/>
      <c r="B104" s="244"/>
      <c r="C104" s="281"/>
      <c r="D104" s="278"/>
      <c r="E104" s="279"/>
      <c r="F104" s="280"/>
      <c r="G104" s="282"/>
      <c r="H104" s="276"/>
      <c r="I104" s="276"/>
      <c r="J104" s="78">
        <f t="shared" si="71"/>
        <v>0</v>
      </c>
      <c r="K104" s="78">
        <f t="shared" si="72"/>
        <v>0</v>
      </c>
      <c r="N104" s="105"/>
    </row>
    <row r="105" spans="1:14" s="72" customFormat="1" ht="30.75" customHeight="1" x14ac:dyDescent="0.2">
      <c r="A105" s="244"/>
      <c r="B105" s="244"/>
      <c r="C105" s="281"/>
      <c r="D105" s="278"/>
      <c r="E105" s="279"/>
      <c r="F105" s="280"/>
      <c r="G105" s="282"/>
      <c r="H105" s="276"/>
      <c r="I105" s="276"/>
      <c r="J105" s="78">
        <f t="shared" si="71"/>
        <v>0</v>
      </c>
      <c r="K105" s="78">
        <f t="shared" si="72"/>
        <v>0</v>
      </c>
      <c r="N105" s="105"/>
    </row>
    <row r="106" spans="1:14" s="72" customFormat="1" ht="30.75" customHeight="1" x14ac:dyDescent="0.2">
      <c r="A106" s="244"/>
      <c r="B106" s="244"/>
      <c r="C106" s="281"/>
      <c r="D106" s="278"/>
      <c r="E106" s="279"/>
      <c r="F106" s="280"/>
      <c r="G106" s="282"/>
      <c r="H106" s="276"/>
      <c r="I106" s="276"/>
      <c r="J106" s="78">
        <f t="shared" si="71"/>
        <v>0</v>
      </c>
      <c r="K106" s="78">
        <f t="shared" si="72"/>
        <v>0</v>
      </c>
      <c r="N106" s="105"/>
    </row>
    <row r="107" spans="1:14" s="72" customFormat="1" ht="30.75" customHeight="1" x14ac:dyDescent="0.2">
      <c r="A107" s="244"/>
      <c r="B107" s="244"/>
      <c r="C107" s="281"/>
      <c r="D107" s="278"/>
      <c r="E107" s="279"/>
      <c r="F107" s="280"/>
      <c r="G107" s="282"/>
      <c r="H107" s="276"/>
      <c r="I107" s="276"/>
      <c r="J107" s="78">
        <f t="shared" si="71"/>
        <v>0</v>
      </c>
      <c r="K107" s="78">
        <f t="shared" si="72"/>
        <v>0</v>
      </c>
      <c r="N107" s="105"/>
    </row>
    <row r="108" spans="1:14" s="72" customFormat="1" ht="30.75" customHeight="1" x14ac:dyDescent="0.2">
      <c r="A108" s="244"/>
      <c r="B108" s="244"/>
      <c r="C108" s="281"/>
      <c r="D108" s="278"/>
      <c r="E108" s="279"/>
      <c r="F108" s="280"/>
      <c r="G108" s="282"/>
      <c r="H108" s="276"/>
      <c r="I108" s="276"/>
      <c r="J108" s="78">
        <f t="shared" si="71"/>
        <v>0</v>
      </c>
      <c r="K108" s="78">
        <f t="shared" si="72"/>
        <v>0</v>
      </c>
      <c r="N108" s="105"/>
    </row>
    <row r="109" spans="1:14" s="72" customFormat="1" ht="30" customHeight="1" x14ac:dyDescent="0.2">
      <c r="A109" s="244"/>
      <c r="B109" s="244"/>
      <c r="C109" s="281"/>
      <c r="D109" s="278"/>
      <c r="E109" s="279"/>
      <c r="F109" s="280"/>
      <c r="G109" s="282"/>
      <c r="H109" s="276"/>
      <c r="I109" s="276"/>
      <c r="J109" s="78">
        <f t="shared" si="71"/>
        <v>0</v>
      </c>
      <c r="K109" s="78">
        <f t="shared" si="72"/>
        <v>0</v>
      </c>
      <c r="N109" s="105" t="s">
        <v>180</v>
      </c>
    </row>
    <row r="110" spans="1:14" s="72" customFormat="1" ht="31.5" customHeight="1" x14ac:dyDescent="0.2">
      <c r="A110" s="244"/>
      <c r="B110" s="244"/>
      <c r="C110" s="281"/>
      <c r="D110" s="278"/>
      <c r="E110" s="279"/>
      <c r="F110" s="280"/>
      <c r="G110" s="282"/>
      <c r="H110" s="276"/>
      <c r="I110" s="276"/>
      <c r="J110" s="78">
        <f t="shared" si="71"/>
        <v>0</v>
      </c>
      <c r="K110" s="78">
        <f t="shared" si="72"/>
        <v>0</v>
      </c>
      <c r="N110" s="106"/>
    </row>
    <row r="111" spans="1:14" s="72" customFormat="1" ht="29.25" customHeight="1" x14ac:dyDescent="0.2">
      <c r="A111" s="244"/>
      <c r="B111" s="244"/>
      <c r="C111" s="281"/>
      <c r="D111" s="278"/>
      <c r="E111" s="279"/>
      <c r="F111" s="280"/>
      <c r="G111" s="283"/>
      <c r="H111" s="276"/>
      <c r="I111" s="276"/>
      <c r="J111" s="78">
        <f t="shared" si="71"/>
        <v>0</v>
      </c>
      <c r="K111" s="78">
        <f t="shared" si="72"/>
        <v>0</v>
      </c>
    </row>
    <row r="112" spans="1:14" s="72" customFormat="1" ht="30" customHeight="1" x14ac:dyDescent="0.2">
      <c r="A112" s="244"/>
      <c r="B112" s="244"/>
      <c r="C112" s="281"/>
      <c r="D112" s="278"/>
      <c r="E112" s="279"/>
      <c r="F112" s="280"/>
      <c r="G112" s="282"/>
      <c r="H112" s="276"/>
      <c r="I112" s="276"/>
      <c r="J112" s="78">
        <f t="shared" si="71"/>
        <v>0</v>
      </c>
      <c r="K112" s="78">
        <f t="shared" si="72"/>
        <v>0</v>
      </c>
    </row>
    <row r="113" spans="1:16" s="72" customFormat="1" ht="22.5" customHeight="1" x14ac:dyDescent="0.2">
      <c r="A113" s="244"/>
      <c r="B113" s="244"/>
      <c r="C113" s="281"/>
      <c r="D113" s="278"/>
      <c r="E113" s="279"/>
      <c r="F113" s="280"/>
      <c r="G113" s="283"/>
      <c r="H113" s="277"/>
      <c r="I113" s="277"/>
      <c r="J113" s="78">
        <f t="shared" si="71"/>
        <v>0</v>
      </c>
      <c r="K113" s="78">
        <f t="shared" si="72"/>
        <v>0</v>
      </c>
    </row>
    <row r="114" spans="1:16" s="72" customFormat="1" ht="22.5" customHeight="1" x14ac:dyDescent="0.2">
      <c r="A114" s="244"/>
      <c r="B114" s="244"/>
      <c r="C114" s="281"/>
      <c r="D114" s="278"/>
      <c r="E114" s="279"/>
      <c r="F114" s="280"/>
      <c r="G114" s="282"/>
      <c r="H114" s="277"/>
      <c r="I114" s="277"/>
      <c r="J114" s="78">
        <f t="shared" si="71"/>
        <v>0</v>
      </c>
      <c r="K114" s="78">
        <f t="shared" si="72"/>
        <v>0</v>
      </c>
    </row>
    <row r="115" spans="1:16" s="72" customFormat="1" ht="28.5" customHeight="1" x14ac:dyDescent="0.2">
      <c r="A115" s="244"/>
      <c r="B115" s="244"/>
      <c r="C115" s="281"/>
      <c r="D115" s="278"/>
      <c r="E115" s="279"/>
      <c r="F115" s="280"/>
      <c r="G115" s="282"/>
      <c r="H115" s="277"/>
      <c r="I115" s="277"/>
      <c r="J115" s="78">
        <f t="shared" si="71"/>
        <v>0</v>
      </c>
      <c r="K115" s="78">
        <f t="shared" si="72"/>
        <v>0</v>
      </c>
    </row>
    <row r="116" spans="1:16" s="72" customFormat="1" ht="33" customHeight="1" x14ac:dyDescent="0.2">
      <c r="A116" s="244"/>
      <c r="B116" s="244"/>
      <c r="C116" s="281"/>
      <c r="D116" s="278"/>
      <c r="E116" s="279"/>
      <c r="F116" s="280"/>
      <c r="G116" s="282"/>
      <c r="H116" s="277"/>
      <c r="I116" s="277"/>
      <c r="J116" s="78">
        <f t="shared" si="71"/>
        <v>0</v>
      </c>
      <c r="K116" s="78">
        <f t="shared" si="72"/>
        <v>0</v>
      </c>
    </row>
    <row r="117" spans="1:16" s="72" customFormat="1" ht="27" customHeight="1" x14ac:dyDescent="0.2">
      <c r="A117" s="244"/>
      <c r="B117" s="244"/>
      <c r="C117" s="281"/>
      <c r="D117" s="278"/>
      <c r="E117" s="279"/>
      <c r="F117" s="280"/>
      <c r="G117" s="283"/>
      <c r="H117" s="276"/>
      <c r="I117" s="276"/>
      <c r="J117" s="78">
        <f t="shared" si="71"/>
        <v>0</v>
      </c>
      <c r="K117" s="78">
        <f t="shared" si="72"/>
        <v>0</v>
      </c>
    </row>
    <row r="118" spans="1:16" s="72" customFormat="1" ht="27" customHeight="1" x14ac:dyDescent="0.2">
      <c r="A118" s="244"/>
      <c r="B118" s="244"/>
      <c r="C118" s="281"/>
      <c r="D118" s="278"/>
      <c r="E118" s="279"/>
      <c r="F118" s="280"/>
      <c r="G118" s="283"/>
      <c r="H118" s="276"/>
      <c r="I118" s="276"/>
      <c r="J118" s="78">
        <f t="shared" si="71"/>
        <v>0</v>
      </c>
      <c r="K118" s="78">
        <f t="shared" si="72"/>
        <v>0</v>
      </c>
    </row>
    <row r="119" spans="1:16" s="72" customFormat="1" ht="21" customHeight="1" x14ac:dyDescent="0.2">
      <c r="A119" s="256" t="s">
        <v>194</v>
      </c>
      <c r="B119" s="257"/>
      <c r="C119" s="257"/>
      <c r="D119" s="257"/>
      <c r="E119" s="257"/>
      <c r="F119" s="257"/>
      <c r="G119" s="257"/>
      <c r="H119" s="257"/>
      <c r="I119" s="258"/>
      <c r="J119" s="79">
        <f>+SUM(J101:J118)</f>
        <v>0</v>
      </c>
      <c r="K119" s="79">
        <f>+SUM(K101:K118)</f>
        <v>0</v>
      </c>
    </row>
    <row r="120" spans="1:16" s="72" customFormat="1" ht="21" customHeight="1" x14ac:dyDescent="0.2">
      <c r="A120" s="256" t="s">
        <v>182</v>
      </c>
      <c r="B120" s="257"/>
      <c r="C120" s="257"/>
      <c r="D120" s="257"/>
      <c r="E120" s="257"/>
      <c r="F120" s="257"/>
      <c r="G120" s="257"/>
      <c r="H120" s="257"/>
      <c r="I120" s="258"/>
      <c r="J120" s="259">
        <f>J119+K119</f>
        <v>0</v>
      </c>
      <c r="K120" s="260"/>
    </row>
    <row r="121" spans="1:16" s="72" customFormat="1" ht="15.75" customHeight="1" x14ac:dyDescent="0.2">
      <c r="A121" s="80"/>
      <c r="B121" s="81"/>
      <c r="C121" s="81"/>
      <c r="D121" s="82"/>
      <c r="E121" s="82"/>
      <c r="F121" s="82"/>
      <c r="G121" s="82"/>
      <c r="H121" s="82"/>
      <c r="I121" s="82"/>
      <c r="J121" s="82"/>
      <c r="K121" s="83"/>
    </row>
    <row r="122" spans="1:16" s="72" customFormat="1" ht="45.75" customHeight="1" x14ac:dyDescent="0.2">
      <c r="A122" s="80"/>
      <c r="B122" s="81"/>
      <c r="C122" s="81"/>
      <c r="D122" s="84" t="s">
        <v>183</v>
      </c>
      <c r="E122" s="84" t="s">
        <v>184</v>
      </c>
      <c r="F122" s="84" t="s">
        <v>185</v>
      </c>
      <c r="G122" s="84" t="s">
        <v>186</v>
      </c>
      <c r="H122" s="82"/>
      <c r="I122" s="82"/>
      <c r="J122" s="82"/>
      <c r="K122" s="83"/>
    </row>
    <row r="123" spans="1:16" s="72" customFormat="1" ht="33" customHeight="1" x14ac:dyDescent="0.2">
      <c r="A123" s="80"/>
      <c r="B123" s="81"/>
      <c r="C123" s="81"/>
      <c r="D123" s="85">
        <f>+COUNTIF(C101:C118,"Charla diaria")</f>
        <v>0</v>
      </c>
      <c r="E123" s="85">
        <f>+COUNTIF(C101:C118,"Charla semanal")</f>
        <v>0</v>
      </c>
      <c r="F123" s="104">
        <f>+COUNTIF(C101:C118,"Capacitación específica")</f>
        <v>0</v>
      </c>
      <c r="G123" s="85">
        <f>+COUNTIF(C101:C118,"Inducción")</f>
        <v>0</v>
      </c>
      <c r="H123" s="82"/>
      <c r="I123" s="82"/>
      <c r="J123" s="82"/>
      <c r="K123" s="83"/>
    </row>
    <row r="124" spans="1:16" s="72" customFormat="1" ht="24.75" customHeight="1" x14ac:dyDescent="0.2">
      <c r="A124" s="80"/>
      <c r="B124" s="81"/>
      <c r="C124" s="81"/>
      <c r="D124" s="100"/>
      <c r="E124" s="100"/>
      <c r="F124" s="100"/>
      <c r="G124" s="100"/>
      <c r="H124" s="82"/>
      <c r="I124" s="82"/>
      <c r="J124" s="82"/>
      <c r="K124" s="83"/>
    </row>
    <row r="125" spans="1:16" ht="27" customHeight="1" x14ac:dyDescent="0.2">
      <c r="A125" s="221" t="s">
        <v>187</v>
      </c>
      <c r="B125" s="222"/>
      <c r="C125" s="222"/>
      <c r="D125" s="222"/>
      <c r="E125" s="222"/>
      <c r="F125" s="222"/>
      <c r="G125" s="222"/>
      <c r="H125" s="222"/>
      <c r="I125" s="222"/>
      <c r="J125" s="222"/>
      <c r="K125" s="223"/>
    </row>
    <row r="126" spans="1:16" ht="6.75" customHeight="1" x14ac:dyDescent="0.2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</row>
    <row r="127" spans="1:16" ht="27.6" customHeight="1" x14ac:dyDescent="0.2">
      <c r="A127" s="198" t="s">
        <v>198</v>
      </c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8"/>
      <c r="O127" s="44"/>
      <c r="P127" s="59"/>
    </row>
    <row r="128" spans="1:16" x14ac:dyDescent="0.2">
      <c r="A128" s="157" t="s">
        <v>41</v>
      </c>
      <c r="B128" s="157"/>
      <c r="C128" s="51" t="s">
        <v>42</v>
      </c>
      <c r="D128" s="52" t="s">
        <v>43</v>
      </c>
      <c r="E128" s="158" t="s">
        <v>44</v>
      </c>
      <c r="F128" s="158"/>
      <c r="G128" s="158"/>
      <c r="H128" s="158" t="s">
        <v>45</v>
      </c>
      <c r="I128" s="158"/>
      <c r="J128" s="158"/>
      <c r="K128" s="158"/>
      <c r="L128" s="49"/>
      <c r="M128" s="49"/>
      <c r="N128" s="50"/>
      <c r="O128" s="46"/>
      <c r="P128" s="61"/>
    </row>
    <row r="129" spans="1:16" ht="24.95" customHeight="1" x14ac:dyDescent="0.2">
      <c r="A129" s="171"/>
      <c r="B129" s="171"/>
      <c r="C129" s="54"/>
      <c r="D129" s="55"/>
      <c r="E129" s="145"/>
      <c r="F129" s="145"/>
      <c r="G129" s="145"/>
      <c r="H129" s="160"/>
      <c r="I129" s="160"/>
      <c r="J129" s="160"/>
      <c r="K129" s="160"/>
      <c r="L129" s="49"/>
      <c r="M129" s="49"/>
      <c r="N129" s="50"/>
      <c r="O129" s="46"/>
      <c r="P129" s="61"/>
    </row>
    <row r="130" spans="1:16" ht="24.95" customHeight="1" x14ac:dyDescent="0.2">
      <c r="A130" s="171"/>
      <c r="B130" s="171"/>
      <c r="C130" s="54"/>
      <c r="D130" s="55"/>
      <c r="E130" s="145"/>
      <c r="F130" s="145"/>
      <c r="G130" s="145"/>
      <c r="H130" s="160"/>
      <c r="I130" s="160"/>
      <c r="J130" s="160"/>
      <c r="K130" s="160"/>
      <c r="L130" s="49"/>
      <c r="M130" s="49"/>
      <c r="N130" s="50"/>
      <c r="O130" s="46"/>
      <c r="P130" s="61"/>
    </row>
    <row r="131" spans="1:16" ht="24.95" customHeight="1" x14ac:dyDescent="0.2">
      <c r="A131" s="171"/>
      <c r="B131" s="171"/>
      <c r="C131" s="54"/>
      <c r="D131" s="55"/>
      <c r="E131" s="145"/>
      <c r="F131" s="145"/>
      <c r="G131" s="145"/>
      <c r="H131" s="160"/>
      <c r="I131" s="160"/>
      <c r="J131" s="160"/>
      <c r="K131" s="160"/>
    </row>
    <row r="132" spans="1:16" ht="24.95" customHeight="1" x14ac:dyDescent="0.2">
      <c r="A132" s="198" t="s">
        <v>188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6" ht="24.95" customHeight="1" x14ac:dyDescent="0.2">
      <c r="A133" s="263" t="s">
        <v>171</v>
      </c>
      <c r="B133" s="264"/>
      <c r="C133" s="265"/>
      <c r="D133" s="108">
        <f>D60</f>
        <v>46118</v>
      </c>
      <c r="E133" s="108">
        <f t="shared" ref="E133:J133" si="73">E60</f>
        <v>46119</v>
      </c>
      <c r="F133" s="108">
        <f t="shared" si="73"/>
        <v>46120</v>
      </c>
      <c r="G133" s="108">
        <f t="shared" si="73"/>
        <v>46121</v>
      </c>
      <c r="H133" s="108">
        <f t="shared" si="73"/>
        <v>46122</v>
      </c>
      <c r="I133" s="108">
        <f t="shared" si="73"/>
        <v>46123</v>
      </c>
      <c r="J133" s="108">
        <f t="shared" si="73"/>
        <v>46124</v>
      </c>
      <c r="K133" s="107" t="s">
        <v>173</v>
      </c>
    </row>
    <row r="134" spans="1:16" ht="24.95" customHeight="1" x14ac:dyDescent="0.2">
      <c r="A134" s="9">
        <v>1</v>
      </c>
      <c r="B134" s="118" t="s">
        <v>47</v>
      </c>
      <c r="C134" s="118"/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7">
        <f>SUM(F134:J134)</f>
        <v>0</v>
      </c>
    </row>
    <row r="135" spans="1:16" ht="24.95" customHeight="1" x14ac:dyDescent="0.2">
      <c r="A135" s="9">
        <v>2</v>
      </c>
      <c r="B135" s="118" t="s">
        <v>48</v>
      </c>
      <c r="C135" s="118"/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27">
        <f t="shared" ref="K135:K136" si="74">SUM(F135:J135)</f>
        <v>0</v>
      </c>
    </row>
    <row r="136" spans="1:16" ht="24.95" customHeight="1" x14ac:dyDescent="0.2">
      <c r="A136" s="9">
        <v>3</v>
      </c>
      <c r="B136" s="118" t="s">
        <v>49</v>
      </c>
      <c r="C136" s="118"/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27">
        <f t="shared" si="74"/>
        <v>0</v>
      </c>
    </row>
    <row r="137" spans="1:16" s="14" customFormat="1" ht="24.95" customHeight="1" x14ac:dyDescent="0.2">
      <c r="A137" s="127" t="s">
        <v>50</v>
      </c>
      <c r="B137" s="127"/>
      <c r="C137" s="127"/>
      <c r="D137" s="11">
        <f t="shared" ref="D137:H137" si="75">SUM(D134:D136)</f>
        <v>0</v>
      </c>
      <c r="E137" s="11">
        <f t="shared" si="75"/>
        <v>0</v>
      </c>
      <c r="F137" s="11">
        <f t="shared" si="75"/>
        <v>0</v>
      </c>
      <c r="G137" s="11">
        <f t="shared" si="75"/>
        <v>0</v>
      </c>
      <c r="H137" s="11">
        <f t="shared" si="75"/>
        <v>0</v>
      </c>
      <c r="I137" s="11">
        <f>SUM(I134:I136)</f>
        <v>0</v>
      </c>
      <c r="J137" s="11">
        <f t="shared" ref="J137" si="76">SUM(J134:J136)</f>
        <v>0</v>
      </c>
      <c r="K137" s="11">
        <f>SUM(K134:K136)</f>
        <v>0</v>
      </c>
      <c r="P137" s="57"/>
    </row>
    <row r="138" spans="1:16" ht="24.95" customHeight="1" x14ac:dyDescent="0.2">
      <c r="A138" s="198" t="s">
        <v>51</v>
      </c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6" ht="24.95" customHeight="1" x14ac:dyDescent="0.2">
      <c r="A139" s="263" t="s">
        <v>171</v>
      </c>
      <c r="B139" s="264"/>
      <c r="C139" s="265"/>
      <c r="D139" s="108">
        <f>D133</f>
        <v>46118</v>
      </c>
      <c r="E139" s="108">
        <f t="shared" ref="E139:J139" si="77">E133</f>
        <v>46119</v>
      </c>
      <c r="F139" s="108">
        <f t="shared" si="77"/>
        <v>46120</v>
      </c>
      <c r="G139" s="108">
        <f t="shared" si="77"/>
        <v>46121</v>
      </c>
      <c r="H139" s="108">
        <f t="shared" si="77"/>
        <v>46122</v>
      </c>
      <c r="I139" s="108">
        <f t="shared" si="77"/>
        <v>46123</v>
      </c>
      <c r="J139" s="108">
        <f t="shared" si="77"/>
        <v>46124</v>
      </c>
      <c r="K139" s="107" t="s">
        <v>173</v>
      </c>
    </row>
    <row r="140" spans="1:16" ht="24.95" customHeight="1" x14ac:dyDescent="0.2">
      <c r="A140" s="9">
        <v>4</v>
      </c>
      <c r="B140" s="226" t="s">
        <v>52</v>
      </c>
      <c r="C140" s="226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28">
        <f>SUM(F140:J140)</f>
        <v>0</v>
      </c>
    </row>
    <row r="141" spans="1:16" ht="24.95" customHeight="1" x14ac:dyDescent="0.2">
      <c r="A141" s="127" t="s">
        <v>53</v>
      </c>
      <c r="B141" s="127"/>
      <c r="C141" s="127"/>
      <c r="D141" s="11">
        <f t="shared" ref="D141:H141" si="78">SUM(D140:D140)</f>
        <v>0</v>
      </c>
      <c r="E141" s="11">
        <f t="shared" si="78"/>
        <v>0</v>
      </c>
      <c r="F141" s="11">
        <f t="shared" si="78"/>
        <v>0</v>
      </c>
      <c r="G141" s="11">
        <f t="shared" si="78"/>
        <v>0</v>
      </c>
      <c r="H141" s="11">
        <f t="shared" si="78"/>
        <v>0</v>
      </c>
      <c r="I141" s="11">
        <f>SUM(I140:I140)</f>
        <v>0</v>
      </c>
      <c r="J141" s="11">
        <f>SUM(J140:J140)</f>
        <v>0</v>
      </c>
      <c r="K141" s="11">
        <f>SUM(K140:K140)</f>
        <v>0</v>
      </c>
    </row>
    <row r="142" spans="1:16" ht="24.95" customHeight="1" x14ac:dyDescent="0.2">
      <c r="A142" s="198" t="s">
        <v>189</v>
      </c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6" ht="24.95" customHeight="1" x14ac:dyDescent="0.2">
      <c r="A143" s="263" t="s">
        <v>171</v>
      </c>
      <c r="B143" s="264"/>
      <c r="C143" s="265"/>
      <c r="D143" s="108">
        <f>D139</f>
        <v>46118</v>
      </c>
      <c r="E143" s="108">
        <f t="shared" ref="E143:I143" si="79">E139</f>
        <v>46119</v>
      </c>
      <c r="F143" s="108">
        <f t="shared" si="79"/>
        <v>46120</v>
      </c>
      <c r="G143" s="108">
        <f t="shared" si="79"/>
        <v>46121</v>
      </c>
      <c r="H143" s="108">
        <f t="shared" si="79"/>
        <v>46122</v>
      </c>
      <c r="I143" s="108">
        <f t="shared" si="79"/>
        <v>46123</v>
      </c>
      <c r="J143" s="108">
        <f t="shared" ref="J143" si="80">J139</f>
        <v>46124</v>
      </c>
      <c r="K143" s="107" t="s">
        <v>173</v>
      </c>
    </row>
    <row r="144" spans="1:16" ht="24.95" customHeight="1" x14ac:dyDescent="0.2">
      <c r="A144" s="9">
        <v>5</v>
      </c>
      <c r="B144" s="118" t="s">
        <v>55</v>
      </c>
      <c r="C144" s="118"/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27">
        <f>SUM(F144:J144)</f>
        <v>0</v>
      </c>
    </row>
    <row r="145" spans="1:16" s="2" customFormat="1" ht="24.95" customHeight="1" x14ac:dyDescent="0.2">
      <c r="A145" s="9">
        <v>6</v>
      </c>
      <c r="B145" s="200" t="s">
        <v>56</v>
      </c>
      <c r="C145" s="201"/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27">
        <f>SUM(F145:J145)</f>
        <v>0</v>
      </c>
      <c r="P145" s="3"/>
    </row>
    <row r="146" spans="1:16" ht="24.95" customHeight="1" x14ac:dyDescent="0.2">
      <c r="A146" s="127" t="s">
        <v>57</v>
      </c>
      <c r="B146" s="127"/>
      <c r="C146" s="127"/>
      <c r="D146" s="12">
        <f t="shared" ref="D146:J146" si="81">SUM(D144:D145)</f>
        <v>0</v>
      </c>
      <c r="E146" s="12">
        <f t="shared" si="81"/>
        <v>0</v>
      </c>
      <c r="F146" s="12">
        <f t="shared" si="81"/>
        <v>0</v>
      </c>
      <c r="G146" s="12">
        <f t="shared" si="81"/>
        <v>0</v>
      </c>
      <c r="H146" s="12">
        <f t="shared" si="81"/>
        <v>0</v>
      </c>
      <c r="I146" s="12">
        <f t="shared" si="81"/>
        <v>0</v>
      </c>
      <c r="J146" s="12">
        <f t="shared" si="81"/>
        <v>0</v>
      </c>
      <c r="K146" s="109">
        <f>SUM(K144:K145)</f>
        <v>0</v>
      </c>
    </row>
    <row r="147" spans="1:16" ht="99.75" customHeight="1" x14ac:dyDescent="0.2">
      <c r="A147" s="26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8"/>
    </row>
    <row r="148" spans="1:16" ht="116.25" customHeight="1" x14ac:dyDescent="0.2">
      <c r="A148" s="269"/>
      <c r="B148" s="270"/>
      <c r="C148" s="270"/>
      <c r="D148" s="270"/>
      <c r="E148" s="270"/>
      <c r="F148" s="270"/>
      <c r="G148" s="270"/>
      <c r="H148" s="270"/>
      <c r="I148" s="270"/>
      <c r="J148" s="270"/>
      <c r="K148" s="271"/>
    </row>
    <row r="149" spans="1:16" ht="111" customHeight="1" x14ac:dyDescent="0.2">
      <c r="A149" s="269"/>
      <c r="B149" s="270"/>
      <c r="C149" s="270"/>
      <c r="D149" s="270"/>
      <c r="E149" s="270"/>
      <c r="F149" s="270"/>
      <c r="G149" s="270"/>
      <c r="H149" s="270"/>
      <c r="I149" s="270"/>
      <c r="J149" s="270"/>
      <c r="K149" s="271"/>
    </row>
    <row r="150" spans="1:16" ht="152.25" customHeight="1" x14ac:dyDescent="0.2">
      <c r="A150" s="269"/>
      <c r="B150" s="270"/>
      <c r="C150" s="270"/>
      <c r="D150" s="270"/>
      <c r="E150" s="270"/>
      <c r="F150" s="270"/>
      <c r="G150" s="270"/>
      <c r="H150" s="270"/>
      <c r="I150" s="270"/>
      <c r="J150" s="270"/>
      <c r="K150" s="271"/>
    </row>
    <row r="151" spans="1:16" ht="116.25" customHeight="1" x14ac:dyDescent="0.2">
      <c r="A151" s="246"/>
      <c r="B151" s="247"/>
      <c r="C151" s="247"/>
      <c r="D151" s="247"/>
      <c r="E151" s="247"/>
      <c r="F151" s="247"/>
      <c r="G151" s="247"/>
      <c r="H151" s="247"/>
      <c r="I151" s="247"/>
      <c r="J151" s="247"/>
      <c r="K151" s="248"/>
    </row>
    <row r="152" spans="1:16" ht="27" customHeight="1" x14ac:dyDescent="0.2">
      <c r="A152" s="198" t="s">
        <v>190</v>
      </c>
      <c r="B152" s="198"/>
      <c r="C152" s="198"/>
      <c r="D152" s="198"/>
      <c r="E152" s="198"/>
      <c r="F152" s="198"/>
      <c r="G152" s="198"/>
      <c r="H152" s="198"/>
      <c r="I152" s="198"/>
      <c r="J152" s="198"/>
      <c r="K152" s="199"/>
    </row>
    <row r="153" spans="1:16" ht="24.95" customHeight="1" x14ac:dyDescent="0.2">
      <c r="A153" s="272" t="s">
        <v>191</v>
      </c>
      <c r="B153" s="273"/>
      <c r="C153" s="274"/>
      <c r="D153" s="110">
        <f>D143</f>
        <v>46118</v>
      </c>
      <c r="E153" s="110">
        <f t="shared" ref="E153:J153" si="82">E143</f>
        <v>46119</v>
      </c>
      <c r="F153" s="110">
        <f t="shared" si="82"/>
        <v>46120</v>
      </c>
      <c r="G153" s="110">
        <f t="shared" si="82"/>
        <v>46121</v>
      </c>
      <c r="H153" s="110">
        <f t="shared" si="82"/>
        <v>46122</v>
      </c>
      <c r="I153" s="110">
        <f t="shared" si="82"/>
        <v>46123</v>
      </c>
      <c r="J153" s="110">
        <f t="shared" si="82"/>
        <v>46124</v>
      </c>
      <c r="K153" s="111" t="s">
        <v>173</v>
      </c>
    </row>
    <row r="154" spans="1:16" ht="24.95" customHeight="1" x14ac:dyDescent="0.2">
      <c r="A154" s="9">
        <v>1</v>
      </c>
      <c r="B154" s="118" t="s">
        <v>59</v>
      </c>
      <c r="C154" s="118"/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27">
        <f>SUM(D154:J154)</f>
        <v>0</v>
      </c>
    </row>
    <row r="155" spans="1:16" s="13" customFormat="1" ht="24.95" customHeight="1" x14ac:dyDescent="0.2">
      <c r="A155" s="9">
        <v>2</v>
      </c>
      <c r="B155" s="118" t="s">
        <v>60</v>
      </c>
      <c r="C155" s="118"/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27">
        <f>SUM(D155:J155)</f>
        <v>0</v>
      </c>
    </row>
    <row r="156" spans="1:16" s="13" customFormat="1" ht="24.95" customHeight="1" x14ac:dyDescent="0.2">
      <c r="A156" s="9">
        <v>3</v>
      </c>
      <c r="B156" s="118" t="s">
        <v>61</v>
      </c>
      <c r="C156" s="118"/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27">
        <f>SUM(D156:J156)</f>
        <v>0</v>
      </c>
    </row>
    <row r="157" spans="1:16" ht="24.95" customHeight="1" x14ac:dyDescent="0.2">
      <c r="A157" s="9">
        <v>4</v>
      </c>
      <c r="B157" s="118" t="s">
        <v>62</v>
      </c>
      <c r="C157" s="118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27">
        <f>SUM(D157:J157)</f>
        <v>0</v>
      </c>
    </row>
    <row r="158" spans="1:16" ht="27.75" customHeight="1" x14ac:dyDescent="0.2">
      <c r="A158" s="127" t="s">
        <v>63</v>
      </c>
      <c r="B158" s="127"/>
      <c r="C158" s="127"/>
      <c r="D158" s="11">
        <f t="shared" ref="D158:K159" si="83">D154+D156</f>
        <v>0</v>
      </c>
      <c r="E158" s="11">
        <f t="shared" si="83"/>
        <v>0</v>
      </c>
      <c r="F158" s="11">
        <f t="shared" si="83"/>
        <v>0</v>
      </c>
      <c r="G158" s="11">
        <f t="shared" si="83"/>
        <v>0</v>
      </c>
      <c r="H158" s="11">
        <f t="shared" si="83"/>
        <v>0</v>
      </c>
      <c r="I158" s="11">
        <f t="shared" si="83"/>
        <v>0</v>
      </c>
      <c r="J158" s="11">
        <f t="shared" si="83"/>
        <v>0</v>
      </c>
      <c r="K158" s="11">
        <f t="shared" si="83"/>
        <v>0</v>
      </c>
    </row>
    <row r="159" spans="1:16" ht="29.25" customHeight="1" x14ac:dyDescent="0.2">
      <c r="A159" s="230" t="s">
        <v>64</v>
      </c>
      <c r="B159" s="230"/>
      <c r="C159" s="230"/>
      <c r="D159" s="11">
        <f t="shared" si="83"/>
        <v>0</v>
      </c>
      <c r="E159" s="11">
        <f t="shared" si="83"/>
        <v>0</v>
      </c>
      <c r="F159" s="11">
        <f t="shared" si="83"/>
        <v>0</v>
      </c>
      <c r="G159" s="11">
        <f t="shared" si="83"/>
        <v>0</v>
      </c>
      <c r="H159" s="11">
        <f t="shared" si="83"/>
        <v>0</v>
      </c>
      <c r="I159" s="11">
        <f>I155+I157</f>
        <v>0</v>
      </c>
      <c r="J159" s="11">
        <f t="shared" si="83"/>
        <v>0</v>
      </c>
      <c r="K159" s="11">
        <f t="shared" si="83"/>
        <v>0</v>
      </c>
    </row>
    <row r="160" spans="1:16" ht="38.25" customHeight="1" x14ac:dyDescent="0.2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</row>
    <row r="161" spans="1:11" ht="4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</row>
    <row r="162" spans="1:11" ht="53.2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</row>
    <row r="163" spans="1:11" ht="49.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</row>
    <row r="164" spans="1:11" ht="56.2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1:11" ht="50.2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</row>
    <row r="166" spans="1:11" ht="72.75" customHeight="1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</row>
    <row r="167" spans="1:11" ht="27" customHeight="1" x14ac:dyDescent="0.2">
      <c r="A167" s="221" t="s">
        <v>199</v>
      </c>
      <c r="B167" s="222"/>
      <c r="C167" s="222"/>
      <c r="D167" s="222"/>
      <c r="E167" s="222"/>
      <c r="F167" s="222"/>
      <c r="G167" s="222"/>
      <c r="H167" s="222"/>
      <c r="I167" s="222"/>
      <c r="J167" s="222"/>
      <c r="K167" s="223"/>
    </row>
    <row r="168" spans="1:11" ht="9" customHeight="1" x14ac:dyDescent="0.2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3"/>
    </row>
    <row r="169" spans="1:11" ht="24.95" customHeight="1" x14ac:dyDescent="0.2">
      <c r="A169" s="227" t="s">
        <v>65</v>
      </c>
      <c r="B169" s="228"/>
      <c r="C169" s="228"/>
      <c r="D169" s="228"/>
      <c r="E169" s="228"/>
      <c r="F169" s="228"/>
      <c r="G169" s="228"/>
      <c r="H169" s="228"/>
      <c r="I169" s="228"/>
      <c r="J169" s="228"/>
      <c r="K169" s="229"/>
    </row>
    <row r="170" spans="1:11" ht="24.95" customHeight="1" x14ac:dyDescent="0.2">
      <c r="A170" s="255" t="s">
        <v>171</v>
      </c>
      <c r="B170" s="255"/>
      <c r="C170" s="255"/>
      <c r="D170" s="87">
        <f>D153</f>
        <v>46118</v>
      </c>
      <c r="E170" s="87">
        <f t="shared" ref="E170:J170" si="84">E153</f>
        <v>46119</v>
      </c>
      <c r="F170" s="87">
        <f t="shared" si="84"/>
        <v>46120</v>
      </c>
      <c r="G170" s="87">
        <f t="shared" si="84"/>
        <v>46121</v>
      </c>
      <c r="H170" s="87">
        <f t="shared" si="84"/>
        <v>46122</v>
      </c>
      <c r="I170" s="87">
        <f t="shared" si="84"/>
        <v>46123</v>
      </c>
      <c r="J170" s="87">
        <f t="shared" si="84"/>
        <v>46124</v>
      </c>
      <c r="K170" s="86" t="s">
        <v>173</v>
      </c>
    </row>
    <row r="171" spans="1:11" ht="24.95" customHeight="1" x14ac:dyDescent="0.2">
      <c r="A171" s="9">
        <v>1</v>
      </c>
      <c r="B171" s="220" t="s">
        <v>66</v>
      </c>
      <c r="C171" s="220"/>
      <c r="D171" s="113">
        <v>0</v>
      </c>
      <c r="E171" s="113">
        <v>0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4">
        <f>SUM(D171:J171)</f>
        <v>0</v>
      </c>
    </row>
    <row r="172" spans="1:11" ht="24.95" customHeight="1" x14ac:dyDescent="0.2">
      <c r="A172" s="9">
        <v>2</v>
      </c>
      <c r="B172" s="220" t="s">
        <v>67</v>
      </c>
      <c r="C172" s="220"/>
      <c r="D172" s="113">
        <v>0</v>
      </c>
      <c r="E172" s="113">
        <v>0</v>
      </c>
      <c r="F172" s="113">
        <v>0</v>
      </c>
      <c r="G172" s="113">
        <v>0</v>
      </c>
      <c r="H172" s="113">
        <v>0</v>
      </c>
      <c r="I172" s="113">
        <v>0</v>
      </c>
      <c r="J172" s="113">
        <v>0</v>
      </c>
      <c r="K172" s="114">
        <f>SUM(D172:J172)</f>
        <v>0</v>
      </c>
    </row>
    <row r="173" spans="1:11" ht="24.95" customHeight="1" x14ac:dyDescent="0.2">
      <c r="A173" s="9">
        <v>3</v>
      </c>
      <c r="B173" s="184" t="s">
        <v>68</v>
      </c>
      <c r="C173" s="184"/>
      <c r="D173" s="113">
        <v>0</v>
      </c>
      <c r="E173" s="113">
        <v>0</v>
      </c>
      <c r="F173" s="113">
        <v>0</v>
      </c>
      <c r="G173" s="113">
        <v>0</v>
      </c>
      <c r="H173" s="113">
        <v>0</v>
      </c>
      <c r="I173" s="113">
        <v>0</v>
      </c>
      <c r="J173" s="113">
        <v>0</v>
      </c>
      <c r="K173" s="114">
        <f t="shared" ref="K173:K176" si="85">SUM(D173:J173)</f>
        <v>0</v>
      </c>
    </row>
    <row r="174" spans="1:11" ht="24.95" customHeight="1" x14ac:dyDescent="0.2">
      <c r="A174" s="9">
        <v>4</v>
      </c>
      <c r="B174" s="184" t="s">
        <v>69</v>
      </c>
      <c r="C174" s="184"/>
      <c r="D174" s="113">
        <v>0</v>
      </c>
      <c r="E174" s="113">
        <v>0</v>
      </c>
      <c r="F174" s="113">
        <v>0</v>
      </c>
      <c r="G174" s="113">
        <v>0</v>
      </c>
      <c r="H174" s="113">
        <v>0</v>
      </c>
      <c r="I174" s="113">
        <v>0</v>
      </c>
      <c r="J174" s="113">
        <v>0</v>
      </c>
      <c r="K174" s="114">
        <f t="shared" si="85"/>
        <v>0</v>
      </c>
    </row>
    <row r="175" spans="1:11" ht="24.95" customHeight="1" x14ac:dyDescent="0.2">
      <c r="A175" s="9">
        <v>5</v>
      </c>
      <c r="B175" s="184" t="s">
        <v>70</v>
      </c>
      <c r="C175" s="184"/>
      <c r="D175" s="113">
        <v>0</v>
      </c>
      <c r="E175" s="113">
        <v>0</v>
      </c>
      <c r="F175" s="113">
        <v>0</v>
      </c>
      <c r="G175" s="113">
        <v>0</v>
      </c>
      <c r="H175" s="113">
        <v>0</v>
      </c>
      <c r="I175" s="113">
        <v>0</v>
      </c>
      <c r="J175" s="113">
        <v>0</v>
      </c>
      <c r="K175" s="114">
        <f t="shared" si="85"/>
        <v>0</v>
      </c>
    </row>
    <row r="176" spans="1:11" ht="24.95" customHeight="1" x14ac:dyDescent="0.2">
      <c r="A176" s="9">
        <v>6</v>
      </c>
      <c r="B176" s="184" t="s">
        <v>71</v>
      </c>
      <c r="C176" s="184"/>
      <c r="D176" s="113">
        <v>0</v>
      </c>
      <c r="E176" s="113">
        <v>0</v>
      </c>
      <c r="F176" s="113">
        <v>0</v>
      </c>
      <c r="G176" s="113">
        <v>0</v>
      </c>
      <c r="H176" s="113">
        <v>0</v>
      </c>
      <c r="I176" s="113">
        <v>0</v>
      </c>
      <c r="J176" s="113">
        <v>0</v>
      </c>
      <c r="K176" s="114">
        <f t="shared" si="85"/>
        <v>0</v>
      </c>
    </row>
    <row r="177" spans="1:16" ht="24.95" customHeight="1" x14ac:dyDescent="0.2">
      <c r="A177" s="9">
        <v>7</v>
      </c>
      <c r="B177" s="184" t="s">
        <v>72</v>
      </c>
      <c r="C177" s="184"/>
      <c r="D177" s="113">
        <v>0</v>
      </c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4">
        <f>SUM(D177:J177)</f>
        <v>0</v>
      </c>
    </row>
    <row r="178" spans="1:16" ht="24.95" customHeight="1" x14ac:dyDescent="0.2">
      <c r="A178" s="9">
        <v>8</v>
      </c>
      <c r="B178" s="184" t="s">
        <v>73</v>
      </c>
      <c r="C178" s="184"/>
      <c r="D178" s="113">
        <v>0</v>
      </c>
      <c r="E178" s="113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4">
        <f>SUM(D178:J178)</f>
        <v>0</v>
      </c>
    </row>
    <row r="179" spans="1:16" ht="24.95" customHeight="1" x14ac:dyDescent="0.2">
      <c r="A179" s="9">
        <v>9</v>
      </c>
      <c r="B179" s="118"/>
      <c r="C179" s="118"/>
      <c r="D179" s="17"/>
      <c r="E179" s="17"/>
      <c r="F179" s="17"/>
      <c r="G179" s="17"/>
      <c r="H179" s="17"/>
      <c r="I179" s="17"/>
      <c r="J179" s="17"/>
      <c r="K179" s="29"/>
    </row>
    <row r="180" spans="1:16" s="6" customFormat="1" ht="24.95" customHeight="1" x14ac:dyDescent="0.2">
      <c r="A180" s="9">
        <v>10</v>
      </c>
      <c r="B180" s="118"/>
      <c r="C180" s="118"/>
      <c r="D180" s="17"/>
      <c r="E180" s="17"/>
      <c r="F180" s="17"/>
      <c r="G180" s="17"/>
      <c r="H180" s="17"/>
      <c r="I180" s="17"/>
      <c r="J180" s="17"/>
      <c r="K180" s="29"/>
    </row>
    <row r="181" spans="1:16" s="6" customFormat="1" ht="24.95" customHeight="1" x14ac:dyDescent="0.2">
      <c r="A181" s="9">
        <v>11</v>
      </c>
      <c r="B181" s="118"/>
      <c r="C181" s="118"/>
      <c r="D181" s="17"/>
      <c r="E181" s="17"/>
      <c r="F181" s="17"/>
      <c r="G181" s="17"/>
      <c r="H181" s="17"/>
      <c r="I181" s="17"/>
      <c r="J181" s="17"/>
      <c r="K181" s="29"/>
    </row>
    <row r="182" spans="1:16" ht="24.95" customHeight="1" x14ac:dyDescent="0.2">
      <c r="A182" s="9">
        <v>12</v>
      </c>
      <c r="B182" s="118"/>
      <c r="C182" s="118"/>
      <c r="D182" s="17"/>
      <c r="E182" s="17"/>
      <c r="F182" s="17"/>
      <c r="G182" s="17"/>
      <c r="H182" s="17"/>
      <c r="I182" s="17"/>
      <c r="J182" s="17"/>
      <c r="K182" s="29"/>
    </row>
    <row r="183" spans="1:16" ht="24.95" customHeight="1" x14ac:dyDescent="0.2">
      <c r="A183" s="230" t="s">
        <v>74</v>
      </c>
      <c r="B183" s="230"/>
      <c r="C183" s="230"/>
      <c r="D183" s="11">
        <f>D171+D173+D175+D177+D179+D181</f>
        <v>0</v>
      </c>
      <c r="E183" s="11">
        <f t="shared" ref="E183:K184" si="86">E171+E173+E175+E177+E179+E181</f>
        <v>0</v>
      </c>
      <c r="F183" s="11">
        <f t="shared" si="86"/>
        <v>0</v>
      </c>
      <c r="G183" s="11">
        <f t="shared" si="86"/>
        <v>0</v>
      </c>
      <c r="H183" s="11">
        <f t="shared" si="86"/>
        <v>0</v>
      </c>
      <c r="I183" s="11">
        <f t="shared" si="86"/>
        <v>0</v>
      </c>
      <c r="J183" s="11">
        <f t="shared" si="86"/>
        <v>0</v>
      </c>
      <c r="K183" s="11">
        <f>K171+K173+K175+K177+K179+K181</f>
        <v>0</v>
      </c>
    </row>
    <row r="184" spans="1:16" ht="24.95" customHeight="1" x14ac:dyDescent="0.2">
      <c r="A184" s="230" t="s">
        <v>75</v>
      </c>
      <c r="B184" s="230"/>
      <c r="C184" s="230"/>
      <c r="D184" s="11">
        <f>D172+D174+D176+D178+D180+D182</f>
        <v>0</v>
      </c>
      <c r="E184" s="11">
        <f t="shared" si="86"/>
        <v>0</v>
      </c>
      <c r="F184" s="11">
        <f t="shared" si="86"/>
        <v>0</v>
      </c>
      <c r="G184" s="11">
        <f t="shared" si="86"/>
        <v>0</v>
      </c>
      <c r="H184" s="11">
        <f t="shared" si="86"/>
        <v>0</v>
      </c>
      <c r="I184" s="11">
        <f t="shared" si="86"/>
        <v>0</v>
      </c>
      <c r="J184" s="11">
        <f t="shared" si="86"/>
        <v>0</v>
      </c>
      <c r="K184" s="11">
        <f t="shared" si="86"/>
        <v>0</v>
      </c>
    </row>
    <row r="185" spans="1:16" ht="24.95" customHeight="1" x14ac:dyDescent="0.2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</row>
    <row r="186" spans="1:16" ht="24.95" customHeight="1" x14ac:dyDescent="0.2">
      <c r="A186" s="227" t="s">
        <v>76</v>
      </c>
      <c r="B186" s="228"/>
      <c r="C186" s="228"/>
      <c r="D186" s="228"/>
      <c r="E186" s="228"/>
      <c r="F186" s="228"/>
      <c r="G186" s="228"/>
      <c r="H186" s="228"/>
      <c r="I186" s="228"/>
      <c r="J186" s="228"/>
      <c r="K186" s="229"/>
    </row>
    <row r="187" spans="1:16" ht="24.95" customHeight="1" x14ac:dyDescent="0.2">
      <c r="A187" s="255" t="s">
        <v>171</v>
      </c>
      <c r="B187" s="255"/>
      <c r="C187" s="255"/>
      <c r="D187" s="87">
        <f>D170</f>
        <v>46118</v>
      </c>
      <c r="E187" s="87">
        <f t="shared" ref="E187:I187" si="87">E170</f>
        <v>46119</v>
      </c>
      <c r="F187" s="87">
        <f t="shared" si="87"/>
        <v>46120</v>
      </c>
      <c r="G187" s="87">
        <f t="shared" si="87"/>
        <v>46121</v>
      </c>
      <c r="H187" s="87">
        <f t="shared" si="87"/>
        <v>46122</v>
      </c>
      <c r="I187" s="87">
        <f t="shared" si="87"/>
        <v>46123</v>
      </c>
      <c r="J187" s="87">
        <f t="shared" ref="J187" si="88">J170</f>
        <v>46124</v>
      </c>
      <c r="K187" s="86" t="s">
        <v>173</v>
      </c>
    </row>
    <row r="188" spans="1:16" ht="24.95" customHeight="1" x14ac:dyDescent="0.2">
      <c r="A188" s="9">
        <v>1</v>
      </c>
      <c r="B188" s="118" t="s">
        <v>77</v>
      </c>
      <c r="C188" s="118"/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29">
        <f>SUM(D188:J188)</f>
        <v>0</v>
      </c>
    </row>
    <row r="189" spans="1:16" ht="24.95" customHeight="1" x14ac:dyDescent="0.2">
      <c r="A189" s="9">
        <v>2</v>
      </c>
      <c r="B189" s="118" t="s">
        <v>78</v>
      </c>
      <c r="C189" s="118"/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29">
        <f>SUM(D189:J189)</f>
        <v>0</v>
      </c>
    </row>
    <row r="190" spans="1:16" ht="24.95" customHeight="1" x14ac:dyDescent="0.2">
      <c r="A190" s="9">
        <v>3</v>
      </c>
      <c r="B190" s="118" t="s">
        <v>79</v>
      </c>
      <c r="C190" s="118"/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29">
        <f>SUM(D190:J190)</f>
        <v>0</v>
      </c>
    </row>
    <row r="191" spans="1:16" s="40" customFormat="1" ht="24.95" customHeight="1" x14ac:dyDescent="0.2">
      <c r="A191" s="127" t="s">
        <v>80</v>
      </c>
      <c r="B191" s="127"/>
      <c r="C191" s="127"/>
      <c r="D191" s="12">
        <f>SUM(D188:D190)</f>
        <v>0</v>
      </c>
      <c r="E191" s="12">
        <f t="shared" ref="E191:J191" si="89">SUM(E188:E190)</f>
        <v>0</v>
      </c>
      <c r="F191" s="12">
        <f t="shared" si="89"/>
        <v>0</v>
      </c>
      <c r="G191" s="12">
        <f t="shared" si="89"/>
        <v>0</v>
      </c>
      <c r="H191" s="12">
        <f t="shared" si="89"/>
        <v>0</v>
      </c>
      <c r="I191" s="12">
        <f t="shared" si="89"/>
        <v>0</v>
      </c>
      <c r="J191" s="12">
        <f t="shared" si="89"/>
        <v>0</v>
      </c>
      <c r="K191" s="109">
        <f>SUM(K188:K190)</f>
        <v>0</v>
      </c>
      <c r="O191" s="43"/>
      <c r="P191" s="58"/>
    </row>
    <row r="192" spans="1:16" s="40" customFormat="1" ht="24.95" customHeight="1" x14ac:dyDescent="0.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O192" s="43"/>
      <c r="P192" s="58"/>
    </row>
    <row r="193" spans="1:16" ht="24.95" customHeight="1" x14ac:dyDescent="0.2">
      <c r="A193" s="224" t="s">
        <v>85</v>
      </c>
      <c r="B193" s="224"/>
      <c r="C193" s="181" t="s">
        <v>86</v>
      </c>
      <c r="D193" s="181"/>
      <c r="E193" s="181"/>
      <c r="F193" s="181"/>
      <c r="G193" s="181"/>
      <c r="H193" s="181"/>
      <c r="I193" s="181"/>
      <c r="J193" s="181"/>
      <c r="K193" s="181"/>
    </row>
    <row r="194" spans="1:16" ht="24.95" customHeight="1" x14ac:dyDescent="0.2">
      <c r="A194" s="120">
        <v>1</v>
      </c>
      <c r="B194" s="120"/>
      <c r="C194" s="192"/>
      <c r="D194" s="225"/>
      <c r="E194" s="225"/>
      <c r="F194" s="225"/>
      <c r="G194" s="225"/>
      <c r="H194" s="225"/>
      <c r="I194" s="225"/>
      <c r="J194" s="225"/>
      <c r="K194" s="225"/>
    </row>
    <row r="195" spans="1:16" ht="24.95" customHeight="1" x14ac:dyDescent="0.2">
      <c r="A195" s="120">
        <v>2</v>
      </c>
      <c r="B195" s="120">
        <v>2</v>
      </c>
      <c r="C195" s="170"/>
      <c r="D195" s="171"/>
      <c r="E195" s="171"/>
      <c r="F195" s="171"/>
      <c r="G195" s="171"/>
      <c r="H195" s="171"/>
      <c r="I195" s="171"/>
      <c r="J195" s="171"/>
      <c r="K195" s="171"/>
    </row>
    <row r="196" spans="1:16" ht="24.95" customHeight="1" x14ac:dyDescent="0.2">
      <c r="A196" s="120">
        <v>3</v>
      </c>
      <c r="B196" s="120"/>
      <c r="C196" s="170"/>
      <c r="D196" s="171"/>
      <c r="E196" s="171"/>
      <c r="F196" s="171"/>
      <c r="G196" s="171"/>
      <c r="H196" s="171"/>
      <c r="I196" s="171"/>
      <c r="J196" s="171"/>
      <c r="K196" s="171"/>
    </row>
    <row r="197" spans="1:16" ht="24.95" customHeight="1" x14ac:dyDescent="0.2">
      <c r="A197" s="120">
        <v>4</v>
      </c>
      <c r="B197" s="120">
        <v>2</v>
      </c>
      <c r="C197" s="170"/>
      <c r="D197" s="171"/>
      <c r="E197" s="171"/>
      <c r="F197" s="171"/>
      <c r="G197" s="171"/>
      <c r="H197" s="171"/>
      <c r="I197" s="171"/>
      <c r="J197" s="171"/>
      <c r="K197" s="171"/>
    </row>
    <row r="198" spans="1:16" ht="24.95" customHeight="1" x14ac:dyDescent="0.2">
      <c r="A198" s="120">
        <v>5</v>
      </c>
      <c r="B198" s="120"/>
      <c r="C198" s="170"/>
      <c r="D198" s="171"/>
      <c r="E198" s="171"/>
      <c r="F198" s="171"/>
      <c r="G198" s="171"/>
      <c r="H198" s="171"/>
      <c r="I198" s="171"/>
      <c r="J198" s="171"/>
      <c r="K198" s="171"/>
    </row>
    <row r="199" spans="1:16" ht="24.95" customHeight="1" x14ac:dyDescent="0.2">
      <c r="A199" s="120">
        <v>6</v>
      </c>
      <c r="B199" s="120">
        <v>2</v>
      </c>
      <c r="C199" s="170"/>
      <c r="D199" s="171"/>
      <c r="E199" s="171"/>
      <c r="F199" s="171"/>
      <c r="G199" s="171"/>
      <c r="H199" s="171"/>
      <c r="I199" s="171"/>
      <c r="J199" s="171"/>
      <c r="K199" s="171"/>
    </row>
    <row r="200" spans="1:16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</row>
    <row r="201" spans="1:16" ht="24.95" customHeight="1" x14ac:dyDescent="0.2">
      <c r="A201" s="224" t="s">
        <v>85</v>
      </c>
      <c r="B201" s="224"/>
      <c r="C201" s="181" t="s">
        <v>87</v>
      </c>
      <c r="D201" s="181"/>
      <c r="E201" s="181"/>
      <c r="F201" s="181"/>
      <c r="G201" s="181"/>
      <c r="H201" s="181"/>
      <c r="I201" s="181"/>
      <c r="J201" s="181"/>
      <c r="K201" s="181"/>
    </row>
    <row r="202" spans="1:16" s="40" customFormat="1" ht="24.95" customHeight="1" x14ac:dyDescent="0.2">
      <c r="A202" s="120">
        <v>1</v>
      </c>
      <c r="B202" s="120"/>
      <c r="C202" s="192"/>
      <c r="D202" s="225"/>
      <c r="E202" s="225"/>
      <c r="F202" s="225"/>
      <c r="G202" s="225"/>
      <c r="H202" s="225"/>
      <c r="I202" s="225"/>
      <c r="J202" s="225"/>
      <c r="K202" s="225"/>
      <c r="P202" s="60"/>
    </row>
    <row r="203" spans="1:16" s="40" customFormat="1" ht="24.95" customHeight="1" x14ac:dyDescent="0.2">
      <c r="A203" s="120">
        <v>2</v>
      </c>
      <c r="B203" s="120">
        <v>2</v>
      </c>
      <c r="C203" s="170"/>
      <c r="D203" s="171"/>
      <c r="E203" s="171"/>
      <c r="F203" s="171"/>
      <c r="G203" s="171"/>
      <c r="H203" s="171"/>
      <c r="I203" s="171"/>
      <c r="J203" s="171"/>
      <c r="K203" s="171"/>
      <c r="P203" s="60"/>
    </row>
    <row r="204" spans="1:16" s="40" customFormat="1" ht="24.95" customHeight="1" x14ac:dyDescent="0.2">
      <c r="A204" s="120">
        <v>3</v>
      </c>
      <c r="B204" s="120"/>
      <c r="C204" s="170"/>
      <c r="D204" s="171"/>
      <c r="E204" s="171"/>
      <c r="F204" s="171"/>
      <c r="G204" s="171"/>
      <c r="H204" s="171"/>
      <c r="I204" s="171"/>
      <c r="J204" s="171"/>
      <c r="K204" s="171"/>
      <c r="P204" s="60"/>
    </row>
    <row r="205" spans="1:16" s="40" customFormat="1" ht="24.95" customHeight="1" x14ac:dyDescent="0.2">
      <c r="A205" s="120">
        <v>4</v>
      </c>
      <c r="B205" s="120">
        <v>2</v>
      </c>
      <c r="C205" s="170"/>
      <c r="D205" s="171"/>
      <c r="E205" s="171"/>
      <c r="F205" s="171"/>
      <c r="G205" s="171"/>
      <c r="H205" s="171"/>
      <c r="I205" s="171"/>
      <c r="J205" s="171"/>
      <c r="K205" s="171"/>
      <c r="P205" s="60"/>
    </row>
    <row r="206" spans="1:16" s="40" customFormat="1" ht="24.95" customHeight="1" x14ac:dyDescent="0.2">
      <c r="A206" s="120">
        <v>5</v>
      </c>
      <c r="B206" s="120"/>
      <c r="C206" s="170"/>
      <c r="D206" s="171"/>
      <c r="E206" s="171"/>
      <c r="F206" s="171"/>
      <c r="G206" s="171"/>
      <c r="H206" s="171"/>
      <c r="I206" s="171"/>
      <c r="J206" s="171"/>
      <c r="K206" s="171"/>
      <c r="P206" s="60"/>
    </row>
    <row r="207" spans="1:16" ht="24.95" customHeight="1" x14ac:dyDescent="0.2">
      <c r="A207" s="120">
        <v>6</v>
      </c>
      <c r="B207" s="120">
        <v>2</v>
      </c>
      <c r="C207" s="170"/>
      <c r="D207" s="171"/>
      <c r="E207" s="171"/>
      <c r="F207" s="171"/>
      <c r="G207" s="171"/>
      <c r="H207" s="171"/>
      <c r="I207" s="171"/>
      <c r="J207" s="171"/>
      <c r="K207" s="171"/>
    </row>
    <row r="208" spans="1:16" ht="15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</row>
    <row r="209" spans="1:11" ht="24.95" customHeight="1" x14ac:dyDescent="0.2">
      <c r="A209" s="181" t="s">
        <v>88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spans="1:11" ht="27.95" customHeight="1" x14ac:dyDescent="0.2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 spans="1:11" ht="27.95" customHeight="1" x14ac:dyDescent="0.2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 spans="1:11" ht="27.95" customHeight="1" x14ac:dyDescent="0.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 spans="1:11" ht="27.95" customHeight="1" x14ac:dyDescent="0.2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 spans="1:11" ht="27.9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</row>
    <row r="215" spans="1:11" ht="23.25" customHeight="1" x14ac:dyDescent="0.2">
      <c r="A215" s="188" t="s">
        <v>89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</row>
    <row r="216" spans="1:11" x14ac:dyDescent="0.2">
      <c r="A216" s="189"/>
      <c r="B216" s="189"/>
      <c r="C216" s="189"/>
      <c r="D216" s="189"/>
      <c r="E216" s="190"/>
      <c r="F216" s="190"/>
      <c r="G216" s="190"/>
      <c r="H216" s="190"/>
      <c r="I216" s="190"/>
      <c r="J216" s="190"/>
      <c r="K216" s="190"/>
    </row>
    <row r="217" spans="1:11" x14ac:dyDescent="0.2">
      <c r="A217" s="189"/>
      <c r="B217" s="189"/>
      <c r="C217" s="189"/>
      <c r="D217" s="189"/>
      <c r="E217" s="190"/>
      <c r="F217" s="190"/>
      <c r="G217" s="190"/>
      <c r="H217" s="190"/>
      <c r="I217" s="190"/>
      <c r="J217" s="190"/>
      <c r="K217" s="190"/>
    </row>
    <row r="218" spans="1:11" x14ac:dyDescent="0.2">
      <c r="A218" s="189"/>
      <c r="B218" s="189"/>
      <c r="C218" s="189"/>
      <c r="D218" s="189"/>
      <c r="E218" s="190"/>
      <c r="F218" s="190"/>
      <c r="G218" s="190"/>
      <c r="H218" s="190"/>
      <c r="I218" s="190"/>
      <c r="J218" s="190"/>
      <c r="K218" s="190"/>
    </row>
    <row r="219" spans="1:11" x14ac:dyDescent="0.2">
      <c r="A219" s="189"/>
      <c r="B219" s="189"/>
      <c r="C219" s="189"/>
      <c r="D219" s="189"/>
      <c r="E219" s="190"/>
      <c r="F219" s="190"/>
      <c r="G219" s="190"/>
      <c r="H219" s="190"/>
      <c r="I219" s="190"/>
      <c r="J219" s="190"/>
      <c r="K219" s="190"/>
    </row>
    <row r="220" spans="1:11" x14ac:dyDescent="0.2">
      <c r="A220" s="189"/>
      <c r="B220" s="189"/>
      <c r="C220" s="189"/>
      <c r="D220" s="189"/>
      <c r="E220" s="190"/>
      <c r="F220" s="190"/>
      <c r="G220" s="190"/>
      <c r="H220" s="190"/>
      <c r="I220" s="190"/>
      <c r="J220" s="190"/>
      <c r="K220" s="190"/>
    </row>
    <row r="221" spans="1:11" x14ac:dyDescent="0.2">
      <c r="A221" s="189"/>
      <c r="B221" s="189"/>
      <c r="C221" s="189"/>
      <c r="D221" s="189"/>
      <c r="E221" s="190"/>
      <c r="F221" s="190"/>
      <c r="G221" s="190"/>
      <c r="H221" s="190"/>
      <c r="I221" s="190"/>
      <c r="J221" s="190"/>
      <c r="K221" s="190"/>
    </row>
    <row r="222" spans="1:11" x14ac:dyDescent="0.2">
      <c r="A222" s="189"/>
      <c r="B222" s="189"/>
      <c r="C222" s="189"/>
      <c r="D222" s="189"/>
      <c r="E222" s="190"/>
      <c r="F222" s="190"/>
      <c r="G222" s="190"/>
      <c r="H222" s="190"/>
      <c r="I222" s="190"/>
      <c r="J222" s="190"/>
      <c r="K222" s="190"/>
    </row>
    <row r="223" spans="1:11" x14ac:dyDescent="0.2">
      <c r="A223" s="189"/>
      <c r="B223" s="189"/>
      <c r="C223" s="189"/>
      <c r="D223" s="189"/>
      <c r="E223" s="190"/>
      <c r="F223" s="190"/>
      <c r="G223" s="190"/>
      <c r="H223" s="190"/>
      <c r="I223" s="190"/>
      <c r="J223" s="190"/>
      <c r="K223" s="190"/>
    </row>
    <row r="224" spans="1:11" x14ac:dyDescent="0.2">
      <c r="A224" s="189"/>
      <c r="B224" s="189"/>
      <c r="C224" s="189"/>
      <c r="D224" s="189"/>
      <c r="E224" s="190"/>
      <c r="F224" s="190"/>
      <c r="G224" s="190"/>
      <c r="H224" s="190"/>
      <c r="I224" s="190"/>
      <c r="J224" s="190"/>
      <c r="K224" s="190"/>
    </row>
    <row r="225" spans="1:11" x14ac:dyDescent="0.2">
      <c r="A225" s="189"/>
      <c r="B225" s="189"/>
      <c r="C225" s="189"/>
      <c r="D225" s="189"/>
      <c r="E225" s="190"/>
      <c r="F225" s="190"/>
      <c r="G225" s="190"/>
      <c r="H225" s="190"/>
      <c r="I225" s="190"/>
      <c r="J225" s="190"/>
      <c r="K225" s="190"/>
    </row>
    <row r="226" spans="1:11" x14ac:dyDescent="0.2">
      <c r="A226" s="189"/>
      <c r="B226" s="189"/>
      <c r="C226" s="189"/>
      <c r="D226" s="189"/>
      <c r="E226" s="190"/>
      <c r="F226" s="190"/>
      <c r="G226" s="190"/>
      <c r="H226" s="190"/>
      <c r="I226" s="190"/>
      <c r="J226" s="190"/>
      <c r="K226" s="190"/>
    </row>
    <row r="227" spans="1:11" x14ac:dyDescent="0.2">
      <c r="A227" s="189"/>
      <c r="B227" s="189"/>
      <c r="C227" s="189"/>
      <c r="D227" s="189"/>
      <c r="E227" s="190"/>
      <c r="F227" s="190"/>
      <c r="G227" s="190"/>
      <c r="H227" s="190"/>
      <c r="I227" s="190"/>
      <c r="J227" s="190"/>
      <c r="K227" s="190"/>
    </row>
    <row r="228" spans="1:11" x14ac:dyDescent="0.2">
      <c r="A228" s="189"/>
      <c r="B228" s="189"/>
      <c r="C228" s="189"/>
      <c r="D228" s="189"/>
      <c r="E228" s="190"/>
      <c r="F228" s="190"/>
      <c r="G228" s="190"/>
      <c r="H228" s="190"/>
      <c r="I228" s="190"/>
      <c r="J228" s="190"/>
      <c r="K228" s="190"/>
    </row>
    <row r="229" spans="1:11" ht="36" customHeight="1" x14ac:dyDescent="0.2">
      <c r="A229" s="189"/>
      <c r="B229" s="189"/>
      <c r="C229" s="189"/>
      <c r="D229" s="189"/>
      <c r="E229" s="190"/>
      <c r="F229" s="190"/>
      <c r="G229" s="190"/>
      <c r="H229" s="190"/>
      <c r="I229" s="190"/>
      <c r="J229" s="190"/>
      <c r="K229" s="190"/>
    </row>
    <row r="230" spans="1:11" x14ac:dyDescent="0.2">
      <c r="A230" s="189"/>
      <c r="B230" s="189"/>
      <c r="C230" s="189"/>
      <c r="D230" s="189"/>
      <c r="E230" s="190"/>
      <c r="F230" s="190"/>
      <c r="G230" s="190"/>
      <c r="H230" s="190"/>
      <c r="I230" s="190"/>
      <c r="J230" s="190"/>
      <c r="K230" s="190"/>
    </row>
    <row r="231" spans="1:11" x14ac:dyDescent="0.2">
      <c r="A231" s="189"/>
      <c r="B231" s="189"/>
      <c r="C231" s="189"/>
      <c r="D231" s="189"/>
      <c r="E231" s="190"/>
      <c r="F231" s="190"/>
      <c r="G231" s="190"/>
      <c r="H231" s="190"/>
      <c r="I231" s="190"/>
      <c r="J231" s="190"/>
      <c r="K231" s="190"/>
    </row>
    <row r="232" spans="1:11" x14ac:dyDescent="0.2">
      <c r="A232" s="192"/>
      <c r="B232" s="192"/>
      <c r="C232" s="192"/>
      <c r="D232" s="192"/>
      <c r="E232" s="193"/>
      <c r="F232" s="194"/>
      <c r="G232" s="194"/>
      <c r="H232" s="194"/>
      <c r="I232" s="194"/>
      <c r="J232" s="194"/>
      <c r="K232" s="195"/>
    </row>
    <row r="233" spans="1:11" x14ac:dyDescent="0.2">
      <c r="A233" s="171"/>
      <c r="B233" s="171"/>
      <c r="C233" s="171"/>
      <c r="D233" s="171"/>
      <c r="E233" s="190"/>
      <c r="F233" s="190"/>
      <c r="G233" s="190"/>
      <c r="H233" s="190"/>
      <c r="I233" s="190"/>
      <c r="J233" s="190"/>
      <c r="K233" s="190"/>
    </row>
    <row r="234" spans="1:11" x14ac:dyDescent="0.2">
      <c r="A234" s="171"/>
      <c r="B234" s="171"/>
      <c r="C234" s="171"/>
      <c r="D234" s="171"/>
      <c r="E234" s="190"/>
      <c r="F234" s="190"/>
      <c r="G234" s="190"/>
      <c r="H234" s="190"/>
      <c r="I234" s="190"/>
      <c r="J234" s="190"/>
      <c r="K234" s="190"/>
    </row>
    <row r="235" spans="1:11" x14ac:dyDescent="0.2">
      <c r="A235" s="171"/>
      <c r="B235" s="171"/>
      <c r="C235" s="171"/>
      <c r="D235" s="171"/>
      <c r="E235" s="190"/>
      <c r="F235" s="190"/>
      <c r="G235" s="190"/>
      <c r="H235" s="190"/>
      <c r="I235" s="190"/>
      <c r="J235" s="190"/>
      <c r="K235" s="190"/>
    </row>
    <row r="236" spans="1:11" x14ac:dyDescent="0.2">
      <c r="A236" s="171"/>
      <c r="B236" s="171"/>
      <c r="C236" s="171"/>
      <c r="D236" s="171"/>
      <c r="E236" s="190"/>
      <c r="F236" s="190"/>
      <c r="G236" s="190"/>
      <c r="H236" s="190"/>
      <c r="I236" s="190"/>
      <c r="J236" s="190"/>
      <c r="K236" s="190"/>
    </row>
    <row r="237" spans="1:11" x14ac:dyDescent="0.2">
      <c r="A237" s="171"/>
      <c r="B237" s="171"/>
      <c r="C237" s="171"/>
      <c r="D237" s="171"/>
      <c r="E237" s="190"/>
      <c r="F237" s="190"/>
      <c r="G237" s="190"/>
      <c r="H237" s="190"/>
      <c r="I237" s="190"/>
      <c r="J237" s="190"/>
      <c r="K237" s="190"/>
    </row>
    <row r="238" spans="1:11" x14ac:dyDescent="0.2">
      <c r="A238" s="171"/>
      <c r="B238" s="171"/>
      <c r="C238" s="171"/>
      <c r="D238" s="171"/>
      <c r="E238" s="190"/>
      <c r="F238" s="190"/>
      <c r="G238" s="190"/>
      <c r="H238" s="190"/>
      <c r="I238" s="190"/>
      <c r="J238" s="190"/>
      <c r="K238" s="190"/>
    </row>
    <row r="239" spans="1:11" x14ac:dyDescent="0.2">
      <c r="A239" s="171"/>
      <c r="B239" s="171"/>
      <c r="C239" s="171"/>
      <c r="D239" s="171"/>
      <c r="E239" s="190"/>
      <c r="F239" s="190"/>
      <c r="G239" s="190"/>
      <c r="H239" s="190"/>
      <c r="I239" s="190"/>
      <c r="J239" s="190"/>
      <c r="K239" s="190"/>
    </row>
    <row r="240" spans="1:11" x14ac:dyDescent="0.2">
      <c r="A240" s="171"/>
      <c r="B240" s="171"/>
      <c r="C240" s="171"/>
      <c r="D240" s="171"/>
      <c r="E240" s="190"/>
      <c r="F240" s="190"/>
      <c r="G240" s="190"/>
      <c r="H240" s="190"/>
      <c r="I240" s="190"/>
      <c r="J240" s="190"/>
      <c r="K240" s="190"/>
    </row>
    <row r="241" spans="1:11" x14ac:dyDescent="0.2">
      <c r="A241" s="171"/>
      <c r="B241" s="171"/>
      <c r="C241" s="171"/>
      <c r="D241" s="171"/>
      <c r="E241" s="190"/>
      <c r="F241" s="190"/>
      <c r="G241" s="190"/>
      <c r="H241" s="190"/>
      <c r="I241" s="190"/>
      <c r="J241" s="190"/>
      <c r="K241" s="190"/>
    </row>
    <row r="242" spans="1:11" x14ac:dyDescent="0.2">
      <c r="A242" s="171"/>
      <c r="B242" s="171"/>
      <c r="C242" s="171"/>
      <c r="D242" s="171"/>
      <c r="E242" s="190"/>
      <c r="F242" s="190"/>
      <c r="G242" s="190"/>
      <c r="H242" s="190"/>
      <c r="I242" s="190"/>
      <c r="J242" s="190"/>
      <c r="K242" s="190"/>
    </row>
    <row r="243" spans="1:11" x14ac:dyDescent="0.2">
      <c r="A243" s="171"/>
      <c r="B243" s="171"/>
      <c r="C243" s="171"/>
      <c r="D243" s="171"/>
      <c r="E243" s="190"/>
      <c r="F243" s="190"/>
      <c r="G243" s="190"/>
      <c r="H243" s="190"/>
      <c r="I243" s="190"/>
      <c r="J243" s="190"/>
      <c r="K243" s="190"/>
    </row>
    <row r="244" spans="1:11" x14ac:dyDescent="0.2">
      <c r="A244" s="171"/>
      <c r="B244" s="171"/>
      <c r="C244" s="171"/>
      <c r="D244" s="171"/>
      <c r="E244" s="190"/>
      <c r="F244" s="190"/>
      <c r="G244" s="190"/>
      <c r="H244" s="190"/>
      <c r="I244" s="190"/>
      <c r="J244" s="190"/>
      <c r="K244" s="190"/>
    </row>
    <row r="245" spans="1:11" x14ac:dyDescent="0.2">
      <c r="A245" s="171"/>
      <c r="B245" s="171"/>
      <c r="C245" s="171"/>
      <c r="D245" s="171"/>
      <c r="E245" s="190"/>
      <c r="F245" s="190"/>
      <c r="G245" s="190"/>
      <c r="H245" s="190"/>
      <c r="I245" s="190"/>
      <c r="J245" s="190"/>
      <c r="K245" s="190"/>
    </row>
    <row r="246" spans="1:11" ht="28.5" customHeight="1" x14ac:dyDescent="0.2">
      <c r="A246" s="171"/>
      <c r="B246" s="171"/>
      <c r="C246" s="171"/>
      <c r="D246" s="171"/>
      <c r="E246" s="190"/>
      <c r="F246" s="190"/>
      <c r="G246" s="190"/>
      <c r="H246" s="190"/>
      <c r="I246" s="190"/>
      <c r="J246" s="190"/>
      <c r="K246" s="190"/>
    </row>
    <row r="247" spans="1:11" ht="28.5" customHeight="1" x14ac:dyDescent="0.2">
      <c r="A247" s="171"/>
      <c r="B247" s="171"/>
      <c r="C247" s="171"/>
      <c r="D247" s="171"/>
      <c r="E247" s="190"/>
      <c r="F247" s="190"/>
      <c r="G247" s="190"/>
      <c r="H247" s="190"/>
      <c r="I247" s="190"/>
      <c r="J247" s="190"/>
      <c r="K247" s="190"/>
    </row>
    <row r="248" spans="1:11" ht="12.95" customHeight="1" x14ac:dyDescent="0.2">
      <c r="A248" s="171"/>
      <c r="B248" s="171"/>
      <c r="C248" s="171"/>
      <c r="D248" s="171"/>
      <c r="E248" s="190"/>
      <c r="F248" s="190"/>
      <c r="G248" s="190"/>
      <c r="H248" s="190"/>
      <c r="I248" s="190"/>
      <c r="J248" s="190"/>
      <c r="K248" s="190"/>
    </row>
    <row r="249" spans="1:11" ht="12.95" customHeight="1" x14ac:dyDescent="0.2">
      <c r="A249" s="170"/>
      <c r="B249" s="171"/>
      <c r="C249" s="171"/>
      <c r="D249" s="171"/>
      <c r="E249" s="192"/>
      <c r="F249" s="225"/>
      <c r="G249" s="225"/>
      <c r="H249" s="225"/>
      <c r="I249" s="192"/>
      <c r="J249" s="225"/>
      <c r="K249" s="225"/>
    </row>
    <row r="250" spans="1:11" ht="12.9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</row>
    <row r="251" spans="1:11" ht="12.95" customHeight="1" x14ac:dyDescent="0.2">
      <c r="A251" s="14"/>
      <c r="B251" s="171"/>
      <c r="C251" s="171"/>
      <c r="D251" s="171"/>
      <c r="E251" s="14"/>
      <c r="F251" s="14"/>
      <c r="G251" s="232"/>
      <c r="H251" s="233"/>
      <c r="I251" s="233"/>
      <c r="J251" s="234"/>
      <c r="K251" s="14"/>
    </row>
    <row r="252" spans="1:11" ht="39.75" customHeight="1" x14ac:dyDescent="0.2">
      <c r="A252" s="14"/>
      <c r="B252" s="171"/>
      <c r="C252" s="171"/>
      <c r="D252" s="171"/>
      <c r="E252" s="14"/>
      <c r="F252" s="14"/>
      <c r="G252" s="235"/>
      <c r="H252" s="236"/>
      <c r="I252" s="236"/>
      <c r="J252" s="237"/>
      <c r="K252" s="14"/>
    </row>
    <row r="253" spans="1:11" ht="39.75" customHeight="1" x14ac:dyDescent="0.2">
      <c r="A253" s="14"/>
      <c r="B253" s="171"/>
      <c r="C253" s="171"/>
      <c r="D253" s="171"/>
      <c r="E253" s="14"/>
      <c r="F253" s="14"/>
      <c r="G253" s="238"/>
      <c r="H253" s="239"/>
      <c r="I253" s="239"/>
      <c r="J253" s="240"/>
      <c r="K253" s="14"/>
    </row>
    <row r="254" spans="1:11" ht="39.75" customHeight="1" x14ac:dyDescent="0.2">
      <c r="A254" s="14"/>
      <c r="B254" s="127" t="s">
        <v>90</v>
      </c>
      <c r="C254" s="127"/>
      <c r="D254" s="127"/>
      <c r="E254" s="14"/>
      <c r="F254" s="14"/>
      <c r="G254" s="241" t="s">
        <v>91</v>
      </c>
      <c r="H254" s="242"/>
      <c r="I254" s="242"/>
      <c r="J254" s="243"/>
      <c r="K254" s="14"/>
    </row>
  </sheetData>
  <mergeCells count="255">
    <mergeCell ref="B254:D254"/>
    <mergeCell ref="G254:J254"/>
    <mergeCell ref="A249:D249"/>
    <mergeCell ref="E249:H249"/>
    <mergeCell ref="I249:K249"/>
    <mergeCell ref="A250:K250"/>
    <mergeCell ref="B251:D253"/>
    <mergeCell ref="G251:J253"/>
    <mergeCell ref="A216:D231"/>
    <mergeCell ref="E216:H231"/>
    <mergeCell ref="I216:K231"/>
    <mergeCell ref="A232:D232"/>
    <mergeCell ref="E232:K232"/>
    <mergeCell ref="A233:D248"/>
    <mergeCell ref="E233:H248"/>
    <mergeCell ref="I233:K248"/>
    <mergeCell ref="A210:K210"/>
    <mergeCell ref="A211:K211"/>
    <mergeCell ref="A212:K212"/>
    <mergeCell ref="A213:K213"/>
    <mergeCell ref="A214:K214"/>
    <mergeCell ref="A215:K215"/>
    <mergeCell ref="A206:B206"/>
    <mergeCell ref="C206:K206"/>
    <mergeCell ref="A207:B207"/>
    <mergeCell ref="C207:K207"/>
    <mergeCell ref="A208:K208"/>
    <mergeCell ref="A209:K209"/>
    <mergeCell ref="A203:B203"/>
    <mergeCell ref="C203:K203"/>
    <mergeCell ref="A204:B204"/>
    <mergeCell ref="C204:K204"/>
    <mergeCell ref="A205:B205"/>
    <mergeCell ref="C205:K205"/>
    <mergeCell ref="A199:B199"/>
    <mergeCell ref="C199:K199"/>
    <mergeCell ref="A200:K200"/>
    <mergeCell ref="A201:B201"/>
    <mergeCell ref="C201:K201"/>
    <mergeCell ref="A202:B202"/>
    <mergeCell ref="C202:K202"/>
    <mergeCell ref="A196:B196"/>
    <mergeCell ref="C196:K196"/>
    <mergeCell ref="A197:B197"/>
    <mergeCell ref="C197:K197"/>
    <mergeCell ref="A198:B198"/>
    <mergeCell ref="C198:K198"/>
    <mergeCell ref="A193:B193"/>
    <mergeCell ref="C193:K193"/>
    <mergeCell ref="A194:B194"/>
    <mergeCell ref="C194:K194"/>
    <mergeCell ref="A195:B195"/>
    <mergeCell ref="C195:K195"/>
    <mergeCell ref="A187:C187"/>
    <mergeCell ref="B188:C188"/>
    <mergeCell ref="B189:C189"/>
    <mergeCell ref="B190:C190"/>
    <mergeCell ref="A191:C191"/>
    <mergeCell ref="A192:K192"/>
    <mergeCell ref="B181:C181"/>
    <mergeCell ref="B182:C182"/>
    <mergeCell ref="A183:C183"/>
    <mergeCell ref="A184:C184"/>
    <mergeCell ref="A185:K185"/>
    <mergeCell ref="A186:K186"/>
    <mergeCell ref="B175:C175"/>
    <mergeCell ref="B176:C176"/>
    <mergeCell ref="B177:C177"/>
    <mergeCell ref="B178:C178"/>
    <mergeCell ref="B179:C179"/>
    <mergeCell ref="B180:C180"/>
    <mergeCell ref="A169:K169"/>
    <mergeCell ref="A170:C170"/>
    <mergeCell ref="B171:C171"/>
    <mergeCell ref="B172:C172"/>
    <mergeCell ref="B173:C173"/>
    <mergeCell ref="B174:C174"/>
    <mergeCell ref="B157:C157"/>
    <mergeCell ref="A158:C158"/>
    <mergeCell ref="A159:C159"/>
    <mergeCell ref="A160:K160"/>
    <mergeCell ref="A166:K166"/>
    <mergeCell ref="A167:K167"/>
    <mergeCell ref="A147:K151"/>
    <mergeCell ref="A152:K152"/>
    <mergeCell ref="A153:C153"/>
    <mergeCell ref="B154:C154"/>
    <mergeCell ref="B155:C155"/>
    <mergeCell ref="B156:C156"/>
    <mergeCell ref="A141:C141"/>
    <mergeCell ref="A142:K142"/>
    <mergeCell ref="A143:C143"/>
    <mergeCell ref="B144:C144"/>
    <mergeCell ref="B145:C145"/>
    <mergeCell ref="A146:C146"/>
    <mergeCell ref="B135:C135"/>
    <mergeCell ref="B136:C136"/>
    <mergeCell ref="A137:C137"/>
    <mergeCell ref="A138:K138"/>
    <mergeCell ref="A139:C139"/>
    <mergeCell ref="B140:C140"/>
    <mergeCell ref="A131:B131"/>
    <mergeCell ref="E131:G131"/>
    <mergeCell ref="H131:K131"/>
    <mergeCell ref="A132:K132"/>
    <mergeCell ref="A133:C133"/>
    <mergeCell ref="B134:C134"/>
    <mergeCell ref="A129:B129"/>
    <mergeCell ref="E129:G129"/>
    <mergeCell ref="H129:K129"/>
    <mergeCell ref="A130:B130"/>
    <mergeCell ref="E130:G130"/>
    <mergeCell ref="H130:K130"/>
    <mergeCell ref="J120:K120"/>
    <mergeCell ref="A125:K125"/>
    <mergeCell ref="A126:K126"/>
    <mergeCell ref="A127:K127"/>
    <mergeCell ref="A128:B128"/>
    <mergeCell ref="E128:G128"/>
    <mergeCell ref="H128:K128"/>
    <mergeCell ref="A117:B117"/>
    <mergeCell ref="D117:F117"/>
    <mergeCell ref="A118:B118"/>
    <mergeCell ref="D118:F118"/>
    <mergeCell ref="A119:I119"/>
    <mergeCell ref="A120:I120"/>
    <mergeCell ref="A114:B114"/>
    <mergeCell ref="D114:F114"/>
    <mergeCell ref="A115:B115"/>
    <mergeCell ref="D115:F115"/>
    <mergeCell ref="A116:B116"/>
    <mergeCell ref="D116:F116"/>
    <mergeCell ref="A111:B111"/>
    <mergeCell ref="D111:F111"/>
    <mergeCell ref="A112:B112"/>
    <mergeCell ref="D112:F112"/>
    <mergeCell ref="A113:B113"/>
    <mergeCell ref="D113:F113"/>
    <mergeCell ref="A103:B103"/>
    <mergeCell ref="D103:F103"/>
    <mergeCell ref="A109:B109"/>
    <mergeCell ref="D109:F109"/>
    <mergeCell ref="A110:B110"/>
    <mergeCell ref="D110:F110"/>
    <mergeCell ref="A99:K99"/>
    <mergeCell ref="A100:B100"/>
    <mergeCell ref="D100:F100"/>
    <mergeCell ref="A101:B101"/>
    <mergeCell ref="D101:F101"/>
    <mergeCell ref="A102:B102"/>
    <mergeCell ref="D102:F102"/>
    <mergeCell ref="A104:B104"/>
    <mergeCell ref="D104:F104"/>
    <mergeCell ref="A105:B105"/>
    <mergeCell ref="D105:F105"/>
    <mergeCell ref="A106:B106"/>
    <mergeCell ref="D106:F106"/>
    <mergeCell ref="A107:B107"/>
    <mergeCell ref="D107:F107"/>
    <mergeCell ref="A108:B108"/>
    <mergeCell ref="D108:F108"/>
    <mergeCell ref="B93:C93"/>
    <mergeCell ref="B94:C94"/>
    <mergeCell ref="A95:C95"/>
    <mergeCell ref="A96:K96"/>
    <mergeCell ref="A97:K97"/>
    <mergeCell ref="A98:K98"/>
    <mergeCell ref="B87:C87"/>
    <mergeCell ref="B88:C88"/>
    <mergeCell ref="B89:C89"/>
    <mergeCell ref="B90:C90"/>
    <mergeCell ref="B91:C91"/>
    <mergeCell ref="B92:C92"/>
    <mergeCell ref="A71:C71"/>
    <mergeCell ref="A72:C72"/>
    <mergeCell ref="B78:C78"/>
    <mergeCell ref="A83:K83"/>
    <mergeCell ref="A84:C86"/>
    <mergeCell ref="D84:K84"/>
    <mergeCell ref="K85:K86"/>
    <mergeCell ref="A65:C65"/>
    <mergeCell ref="A66:C66"/>
    <mergeCell ref="B67:C67"/>
    <mergeCell ref="B68:C68"/>
    <mergeCell ref="B69:C69"/>
    <mergeCell ref="B70:C70"/>
    <mergeCell ref="D58:K58"/>
    <mergeCell ref="K59:K60"/>
    <mergeCell ref="B61:C61"/>
    <mergeCell ref="B62:C62"/>
    <mergeCell ref="B63:C63"/>
    <mergeCell ref="B64:C64"/>
    <mergeCell ref="B53:C53"/>
    <mergeCell ref="B54:C54"/>
    <mergeCell ref="B55:C55"/>
    <mergeCell ref="A56:C56"/>
    <mergeCell ref="A57:C57"/>
    <mergeCell ref="A58:C60"/>
    <mergeCell ref="B47:C47"/>
    <mergeCell ref="B48:C48"/>
    <mergeCell ref="B49:C49"/>
    <mergeCell ref="A50:C50"/>
    <mergeCell ref="A51:C51"/>
    <mergeCell ref="B52:C52"/>
    <mergeCell ref="A41:C41"/>
    <mergeCell ref="A42:C42"/>
    <mergeCell ref="A43:C45"/>
    <mergeCell ref="D43:K43"/>
    <mergeCell ref="K44:K45"/>
    <mergeCell ref="B46:C46"/>
    <mergeCell ref="A35:C35"/>
    <mergeCell ref="A36:C36"/>
    <mergeCell ref="B37:C37"/>
    <mergeCell ref="B38:C38"/>
    <mergeCell ref="B39:C39"/>
    <mergeCell ref="B40:C40"/>
    <mergeCell ref="D28:K28"/>
    <mergeCell ref="K29:K30"/>
    <mergeCell ref="B31:C31"/>
    <mergeCell ref="B32:C32"/>
    <mergeCell ref="B33:C33"/>
    <mergeCell ref="B34:C34"/>
    <mergeCell ref="B23:C23"/>
    <mergeCell ref="B24:C24"/>
    <mergeCell ref="B25:C25"/>
    <mergeCell ref="A26:C26"/>
    <mergeCell ref="A27:C27"/>
    <mergeCell ref="A28:C30"/>
    <mergeCell ref="B17:C17"/>
    <mergeCell ref="B18:C18"/>
    <mergeCell ref="B19:C19"/>
    <mergeCell ref="A20:C20"/>
    <mergeCell ref="A21:C21"/>
    <mergeCell ref="B22:C22"/>
    <mergeCell ref="A10:K10"/>
    <mergeCell ref="A11:K11"/>
    <mergeCell ref="A13:C15"/>
    <mergeCell ref="D13:K13"/>
    <mergeCell ref="K14:K15"/>
    <mergeCell ref="B16:C16"/>
    <mergeCell ref="A8:B8"/>
    <mergeCell ref="C8:F8"/>
    <mergeCell ref="G8:H8"/>
    <mergeCell ref="I8:K8"/>
    <mergeCell ref="A9:B9"/>
    <mergeCell ref="C9:F9"/>
    <mergeCell ref="G9:H9"/>
    <mergeCell ref="I9:K9"/>
    <mergeCell ref="A1:B4"/>
    <mergeCell ref="C1:I4"/>
    <mergeCell ref="A5:K5"/>
    <mergeCell ref="A6:B6"/>
    <mergeCell ref="C6:K6"/>
    <mergeCell ref="A7:B7"/>
    <mergeCell ref="C7:K7"/>
  </mergeCells>
  <dataValidations count="1">
    <dataValidation type="list" allowBlank="1" showInputMessage="1" showErrorMessage="1" sqref="C101:C118" xr:uid="{00CEC8CB-63BB-4A1A-B83E-A17CA073FB07}">
      <formula1>$N$101:$N$104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7AFB-DA59-47D1-877E-07A3FC868984}">
  <sheetPr>
    <tabColor rgb="FFC00000"/>
    <pageSetUpPr fitToPage="1"/>
  </sheetPr>
  <dimension ref="A1:CN254"/>
  <sheetViews>
    <sheetView showGridLines="0" view="pageBreakPreview" zoomScale="68" zoomScaleNormal="70" zoomScaleSheetLayoutView="68" workbookViewId="0">
      <selection activeCell="D117" sqref="D117:F117"/>
    </sheetView>
  </sheetViews>
  <sheetFormatPr baseColWidth="10" defaultColWidth="9.140625" defaultRowHeight="12.75" x14ac:dyDescent="0.2"/>
  <cols>
    <col min="1" max="1" width="4.42578125" customWidth="1"/>
    <col min="2" max="2" width="21.140625" customWidth="1"/>
    <col min="3" max="3" width="25.7109375" customWidth="1"/>
    <col min="4" max="10" width="14.7109375" customWidth="1"/>
    <col min="11" max="11" width="15.7109375" customWidth="1"/>
    <col min="16" max="16" width="17.7109375" style="25" bestFit="1" customWidth="1"/>
  </cols>
  <sheetData>
    <row r="1" spans="1:92" x14ac:dyDescent="0.2">
      <c r="A1" s="170"/>
      <c r="B1" s="170"/>
      <c r="C1" s="219" t="s">
        <v>0</v>
      </c>
      <c r="D1" s="219"/>
      <c r="E1" s="219"/>
      <c r="F1" s="219"/>
      <c r="G1" s="219"/>
      <c r="H1" s="219"/>
      <c r="I1" s="219"/>
      <c r="J1" s="16" t="s">
        <v>1</v>
      </c>
      <c r="K1" s="17" t="s">
        <v>2</v>
      </c>
    </row>
    <row r="2" spans="1:92" x14ac:dyDescent="0.2">
      <c r="A2" s="170"/>
      <c r="B2" s="170"/>
      <c r="C2" s="219"/>
      <c r="D2" s="219"/>
      <c r="E2" s="219"/>
      <c r="F2" s="219"/>
      <c r="G2" s="219"/>
      <c r="H2" s="219"/>
      <c r="I2" s="219"/>
      <c r="J2" s="16" t="s">
        <v>3</v>
      </c>
      <c r="K2" s="18" t="s">
        <v>168</v>
      </c>
      <c r="N2" s="25"/>
      <c r="P2"/>
      <c r="Q2" s="25"/>
      <c r="T2" s="25"/>
      <c r="W2" s="25"/>
      <c r="Z2" s="25"/>
      <c r="AC2" s="25"/>
      <c r="AF2" s="25"/>
      <c r="AI2" s="25"/>
      <c r="AL2" s="25"/>
      <c r="AO2" s="25"/>
      <c r="AR2" s="25"/>
      <c r="AU2" s="25"/>
      <c r="AX2" s="25"/>
      <c r="BA2" s="25"/>
      <c r="BD2" s="25"/>
      <c r="BG2" s="25"/>
      <c r="BJ2" s="25"/>
      <c r="BM2" s="25"/>
      <c r="BP2" s="25"/>
      <c r="BS2" s="25"/>
      <c r="BV2" s="25"/>
      <c r="BY2" s="25"/>
      <c r="CB2" s="25"/>
      <c r="CE2" s="25"/>
      <c r="CH2" s="25"/>
      <c r="CK2" s="25"/>
      <c r="CN2" s="25"/>
    </row>
    <row r="3" spans="1:92" x14ac:dyDescent="0.2">
      <c r="A3" s="170"/>
      <c r="B3" s="170"/>
      <c r="C3" s="219"/>
      <c r="D3" s="219"/>
      <c r="E3" s="219"/>
      <c r="F3" s="219"/>
      <c r="G3" s="219"/>
      <c r="H3" s="219"/>
      <c r="I3" s="219"/>
      <c r="J3" s="16" t="s">
        <v>4</v>
      </c>
      <c r="K3" s="19">
        <v>46119</v>
      </c>
      <c r="N3" s="25"/>
      <c r="P3"/>
      <c r="Q3" s="25"/>
      <c r="T3" s="25"/>
      <c r="W3" s="25"/>
      <c r="Z3" s="25"/>
      <c r="AC3" s="25"/>
      <c r="AF3" s="25"/>
      <c r="AI3" s="25"/>
      <c r="AL3" s="25"/>
      <c r="AO3" s="25"/>
      <c r="AR3" s="25"/>
      <c r="AU3" s="25"/>
      <c r="AX3" s="25"/>
      <c r="BA3" s="25"/>
      <c r="BD3" s="25"/>
      <c r="BG3" s="25"/>
      <c r="BJ3" s="25"/>
      <c r="BM3" s="25"/>
      <c r="BP3" s="25"/>
      <c r="BS3" s="25"/>
      <c r="BV3" s="25"/>
      <c r="BY3" s="25"/>
      <c r="CB3" s="25"/>
      <c r="CE3" s="25"/>
      <c r="CH3" s="25"/>
      <c r="CK3" s="25"/>
      <c r="CN3" s="25"/>
    </row>
    <row r="4" spans="1:92" x14ac:dyDescent="0.2">
      <c r="A4" s="170"/>
      <c r="B4" s="170"/>
      <c r="C4" s="219"/>
      <c r="D4" s="219"/>
      <c r="E4" s="219"/>
      <c r="F4" s="219"/>
      <c r="G4" s="219"/>
      <c r="H4" s="219"/>
      <c r="I4" s="219"/>
      <c r="J4" s="16" t="s">
        <v>5</v>
      </c>
      <c r="K4" s="18" t="s">
        <v>6</v>
      </c>
      <c r="N4" s="25"/>
      <c r="P4"/>
      <c r="Q4" s="25"/>
      <c r="T4" s="25"/>
      <c r="W4" s="25"/>
      <c r="Z4" s="25"/>
      <c r="AC4" s="25"/>
      <c r="AF4" s="25"/>
      <c r="AI4" s="25"/>
      <c r="AL4" s="25"/>
      <c r="AO4" s="25"/>
      <c r="AR4" s="25"/>
      <c r="AU4" s="25"/>
      <c r="AX4" s="25"/>
      <c r="BA4" s="25"/>
      <c r="BD4" s="25"/>
      <c r="BG4" s="25"/>
      <c r="BJ4" s="25"/>
      <c r="BM4" s="25"/>
      <c r="BP4" s="25"/>
      <c r="BS4" s="25"/>
      <c r="BV4" s="25"/>
      <c r="BY4" s="25"/>
      <c r="CB4" s="25"/>
      <c r="CE4" s="25"/>
      <c r="CH4" s="25"/>
      <c r="CK4" s="25"/>
      <c r="CN4" s="25"/>
    </row>
    <row r="5" spans="1:92" s="4" customFormat="1" ht="7.1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5"/>
      <c r="M5"/>
      <c r="N5" s="25"/>
      <c r="O5"/>
      <c r="P5"/>
      <c r="Q5" s="25"/>
      <c r="R5"/>
      <c r="S5"/>
      <c r="T5" s="25"/>
      <c r="U5"/>
      <c r="V5"/>
      <c r="W5" s="25"/>
      <c r="X5"/>
      <c r="Y5"/>
      <c r="Z5" s="25"/>
      <c r="AA5"/>
      <c r="AB5"/>
      <c r="AC5" s="25"/>
      <c r="AD5"/>
      <c r="AE5"/>
      <c r="AF5" s="25"/>
      <c r="AG5"/>
      <c r="AH5"/>
      <c r="AI5" s="25"/>
      <c r="AJ5"/>
      <c r="AK5"/>
      <c r="AL5" s="25"/>
      <c r="AM5"/>
      <c r="AN5"/>
      <c r="AO5" s="25"/>
      <c r="AP5"/>
      <c r="AQ5"/>
      <c r="AR5" s="25"/>
      <c r="AS5"/>
      <c r="AT5"/>
      <c r="AU5" s="25"/>
      <c r="AV5"/>
      <c r="AW5"/>
      <c r="AX5" s="25"/>
      <c r="AY5"/>
      <c r="AZ5"/>
      <c r="BA5" s="25"/>
      <c r="BB5"/>
      <c r="BC5"/>
      <c r="BD5" s="25"/>
      <c r="BE5"/>
      <c r="BF5"/>
      <c r="BG5" s="25"/>
      <c r="BH5"/>
      <c r="BI5"/>
      <c r="BJ5" s="25"/>
      <c r="BK5"/>
      <c r="BL5"/>
      <c r="BM5" s="25"/>
      <c r="BN5"/>
      <c r="BO5"/>
      <c r="BP5" s="25"/>
      <c r="BQ5"/>
      <c r="BR5"/>
      <c r="BS5" s="25"/>
      <c r="BT5"/>
      <c r="BU5"/>
      <c r="BV5" s="25"/>
      <c r="BW5"/>
      <c r="BX5"/>
      <c r="BY5" s="25"/>
      <c r="BZ5"/>
      <c r="CA5"/>
      <c r="CB5" s="25"/>
      <c r="CC5"/>
      <c r="CD5"/>
      <c r="CE5" s="25"/>
      <c r="CF5"/>
      <c r="CG5"/>
      <c r="CH5" s="25"/>
      <c r="CI5"/>
      <c r="CJ5"/>
      <c r="CK5" s="25"/>
      <c r="CL5"/>
      <c r="CM5"/>
      <c r="CN5" s="25"/>
    </row>
    <row r="6" spans="1:92" ht="15.95" customHeight="1" x14ac:dyDescent="0.2">
      <c r="A6" s="119" t="s">
        <v>7</v>
      </c>
      <c r="B6" s="119"/>
      <c r="C6" s="131"/>
      <c r="D6" s="131"/>
      <c r="E6" s="131"/>
      <c r="F6" s="131"/>
      <c r="G6" s="131"/>
      <c r="H6" s="131"/>
      <c r="I6" s="131"/>
      <c r="J6" s="131"/>
      <c r="K6" s="13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15.95" customHeight="1" x14ac:dyDescent="0.2">
      <c r="A7" s="119" t="s">
        <v>8</v>
      </c>
      <c r="B7" s="119"/>
      <c r="C7" s="213"/>
      <c r="D7" s="214"/>
      <c r="E7" s="214"/>
      <c r="F7" s="214"/>
      <c r="G7" s="214"/>
      <c r="H7" s="214"/>
      <c r="I7" s="214"/>
      <c r="J7" s="214"/>
      <c r="K7" s="21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15.95" customHeight="1" x14ac:dyDescent="0.2">
      <c r="A8" s="119" t="s">
        <v>9</v>
      </c>
      <c r="B8" s="119"/>
      <c r="C8" s="205"/>
      <c r="D8" s="206"/>
      <c r="E8" s="206"/>
      <c r="F8" s="207"/>
      <c r="G8" s="208" t="s">
        <v>10</v>
      </c>
      <c r="H8" s="209"/>
      <c r="I8" s="210" t="s">
        <v>165</v>
      </c>
      <c r="J8" s="211"/>
      <c r="K8" s="212"/>
      <c r="N8" s="25"/>
      <c r="P8"/>
      <c r="Q8" s="25"/>
      <c r="T8" s="25"/>
      <c r="W8" s="25"/>
      <c r="Z8" s="25"/>
      <c r="AC8" s="25"/>
      <c r="AF8" s="25"/>
      <c r="AI8" s="25"/>
      <c r="AL8" s="25"/>
      <c r="AO8" s="25"/>
      <c r="AR8" s="25"/>
      <c r="AU8" s="25"/>
      <c r="AX8" s="25"/>
      <c r="BA8" s="25"/>
      <c r="BD8" s="25"/>
      <c r="BG8" s="25"/>
      <c r="BJ8" s="25"/>
      <c r="BM8" s="25"/>
      <c r="BP8" s="25"/>
      <c r="BS8" s="25"/>
      <c r="BV8" s="25"/>
      <c r="BY8" s="25"/>
      <c r="CB8" s="25"/>
      <c r="CE8" s="25"/>
      <c r="CH8" s="25"/>
      <c r="CK8" s="25"/>
      <c r="CN8" s="25"/>
    </row>
    <row r="9" spans="1:92" ht="15.95" customHeight="1" x14ac:dyDescent="0.2">
      <c r="A9" s="119" t="s">
        <v>11</v>
      </c>
      <c r="B9" s="119"/>
      <c r="C9" s="213"/>
      <c r="D9" s="214"/>
      <c r="E9" s="214"/>
      <c r="F9" s="215"/>
      <c r="G9" s="208" t="s">
        <v>12</v>
      </c>
      <c r="H9" s="209"/>
      <c r="I9" s="216"/>
      <c r="J9" s="217"/>
      <c r="K9" s="218"/>
      <c r="N9" s="25"/>
      <c r="P9"/>
      <c r="Q9" s="25"/>
      <c r="T9" s="25"/>
      <c r="W9" s="25"/>
      <c r="Z9" s="25"/>
      <c r="AC9" s="25"/>
      <c r="AF9" s="25"/>
      <c r="AI9" s="25"/>
      <c r="AL9" s="25"/>
      <c r="AO9" s="25"/>
      <c r="AR9" s="25"/>
      <c r="AU9" s="25"/>
      <c r="AX9" s="25"/>
      <c r="BA9" s="25"/>
      <c r="BD9" s="25"/>
      <c r="BG9" s="25"/>
      <c r="BJ9" s="25"/>
      <c r="BM9" s="25"/>
      <c r="BP9" s="25"/>
      <c r="BS9" s="25"/>
      <c r="BV9" s="25"/>
      <c r="BY9" s="25"/>
      <c r="CB9" s="25"/>
      <c r="CE9" s="25"/>
      <c r="CH9" s="25"/>
      <c r="CK9" s="25"/>
      <c r="CN9" s="25"/>
    </row>
    <row r="10" spans="1:92" s="4" customFormat="1" ht="7.15" customHeight="1" x14ac:dyDescent="0.2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5"/>
      <c r="M10"/>
      <c r="N10" s="25"/>
      <c r="O10"/>
      <c r="P10"/>
      <c r="Q10" s="25"/>
      <c r="R10"/>
      <c r="S10"/>
      <c r="T10" s="25"/>
      <c r="U10"/>
      <c r="V10"/>
      <c r="W10" s="25"/>
      <c r="X10"/>
      <c r="Y10"/>
      <c r="Z10" s="25"/>
      <c r="AA10"/>
      <c r="AB10"/>
      <c r="AC10" s="25"/>
      <c r="AD10"/>
      <c r="AE10"/>
      <c r="AF10" s="25"/>
      <c r="AG10"/>
      <c r="AH10"/>
      <c r="AI10" s="25"/>
      <c r="AJ10"/>
      <c r="AK10"/>
      <c r="AL10" s="25"/>
      <c r="AM10"/>
      <c r="AN10"/>
      <c r="AO10" s="25"/>
      <c r="AP10"/>
      <c r="AQ10"/>
      <c r="AR10" s="25"/>
      <c r="AS10"/>
      <c r="AT10"/>
      <c r="AU10" s="25"/>
      <c r="AV10"/>
      <c r="AW10"/>
      <c r="AX10" s="25"/>
      <c r="AY10"/>
      <c r="AZ10"/>
      <c r="BA10" s="25"/>
      <c r="BB10"/>
      <c r="BC10"/>
      <c r="BD10" s="25"/>
      <c r="BE10"/>
      <c r="BF10"/>
      <c r="BG10" s="25"/>
      <c r="BH10"/>
      <c r="BI10"/>
      <c r="BJ10" s="25"/>
      <c r="BK10"/>
      <c r="BL10"/>
      <c r="BM10" s="25"/>
      <c r="BN10"/>
      <c r="BO10"/>
      <c r="BP10" s="25"/>
      <c r="BQ10"/>
      <c r="BR10"/>
      <c r="BS10" s="25"/>
      <c r="BT10"/>
      <c r="BU10"/>
      <c r="BV10" s="25"/>
      <c r="BW10"/>
      <c r="BX10"/>
      <c r="BY10" s="25"/>
      <c r="BZ10"/>
      <c r="CA10"/>
      <c r="CB10" s="25"/>
      <c r="CC10"/>
      <c r="CD10"/>
      <c r="CE10" s="25"/>
      <c r="CF10"/>
      <c r="CG10"/>
      <c r="CH10" s="25"/>
      <c r="CI10"/>
      <c r="CJ10"/>
      <c r="CK10" s="25"/>
      <c r="CL10"/>
      <c r="CM10"/>
      <c r="CN10" s="25"/>
    </row>
    <row r="11" spans="1:92" s="5" customFormat="1" ht="27" customHeight="1" x14ac:dyDescent="0.2">
      <c r="A11" s="221" t="s">
        <v>169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3"/>
      <c r="M11"/>
      <c r="N11" s="25"/>
      <c r="O11"/>
      <c r="P11"/>
      <c r="Q11" s="25"/>
      <c r="R11"/>
      <c r="S11"/>
      <c r="T11" s="25"/>
      <c r="U11"/>
      <c r="V11"/>
      <c r="W11" s="25"/>
      <c r="X11"/>
      <c r="Y11"/>
      <c r="Z11" s="25"/>
      <c r="AA11"/>
      <c r="AB11"/>
      <c r="AC11" s="25"/>
      <c r="AD11"/>
      <c r="AE11"/>
      <c r="AF11" s="25"/>
      <c r="AG11"/>
      <c r="AH11"/>
      <c r="AI11" s="25"/>
      <c r="AJ11"/>
      <c r="AK11"/>
      <c r="AL11" s="25"/>
      <c r="AM11"/>
      <c r="AN11"/>
      <c r="AO11" s="25"/>
      <c r="AP11"/>
      <c r="AQ11"/>
      <c r="AR11" s="25"/>
      <c r="AS11"/>
      <c r="AT11"/>
      <c r="AU11" s="25"/>
      <c r="AV11"/>
      <c r="AW11"/>
      <c r="AX11" s="25"/>
      <c r="AY11"/>
      <c r="AZ11"/>
      <c r="BA11" s="25"/>
      <c r="BB11"/>
      <c r="BC11"/>
      <c r="BD11" s="25"/>
      <c r="BE11"/>
      <c r="BF11"/>
      <c r="BG11" s="25"/>
      <c r="BH11"/>
      <c r="BI11"/>
      <c r="BJ11" s="25"/>
      <c r="BK11"/>
      <c r="BL11"/>
      <c r="BM11" s="25"/>
      <c r="BN11"/>
      <c r="BO11"/>
      <c r="BP11" s="25"/>
      <c r="BQ11"/>
      <c r="BR11"/>
      <c r="BS11" s="25"/>
      <c r="BT11"/>
      <c r="BU11"/>
      <c r="BV11" s="25"/>
      <c r="BW11"/>
      <c r="BX11"/>
      <c r="BY11" s="25"/>
      <c r="BZ11"/>
      <c r="CA11"/>
      <c r="CB11" s="25"/>
      <c r="CC11"/>
      <c r="CD11"/>
      <c r="CE11" s="25"/>
      <c r="CF11"/>
      <c r="CG11"/>
      <c r="CH11" s="25"/>
      <c r="CI11"/>
      <c r="CJ11"/>
      <c r="CK11" s="25"/>
      <c r="CL11"/>
      <c r="CM11"/>
      <c r="CN11" s="25"/>
    </row>
    <row r="12" spans="1:92" s="5" customFormat="1" ht="6.75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0" customFormat="1" ht="15" customHeight="1" x14ac:dyDescent="0.2">
      <c r="A13" s="185" t="s">
        <v>13</v>
      </c>
      <c r="B13" s="185"/>
      <c r="C13" s="185"/>
      <c r="D13" s="202" t="s">
        <v>14</v>
      </c>
      <c r="E13" s="203"/>
      <c r="F13" s="203"/>
      <c r="G13" s="203"/>
      <c r="H13" s="203"/>
      <c r="I13" s="203"/>
      <c r="J13" s="203"/>
      <c r="K13" s="20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15" customHeight="1" x14ac:dyDescent="0.2">
      <c r="A14" s="185"/>
      <c r="B14" s="185"/>
      <c r="C14" s="185"/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85" t="s">
        <v>22</v>
      </c>
    </row>
    <row r="15" spans="1:92" s="8" customFormat="1" ht="15" customHeight="1" x14ac:dyDescent="0.2">
      <c r="A15" s="185"/>
      <c r="B15" s="185"/>
      <c r="C15" s="185"/>
      <c r="D15" s="21">
        <f>'SEMANA 02'!J15+1</f>
        <v>46125</v>
      </c>
      <c r="E15" s="21">
        <f t="shared" ref="E15:J15" si="0">D15+1</f>
        <v>46126</v>
      </c>
      <c r="F15" s="21">
        <f t="shared" si="0"/>
        <v>46127</v>
      </c>
      <c r="G15" s="21">
        <f t="shared" si="0"/>
        <v>46128</v>
      </c>
      <c r="H15" s="21">
        <f t="shared" si="0"/>
        <v>46129</v>
      </c>
      <c r="I15" s="21">
        <f t="shared" si="0"/>
        <v>46130</v>
      </c>
      <c r="J15" s="21">
        <f t="shared" si="0"/>
        <v>46131</v>
      </c>
      <c r="K15" s="185"/>
      <c r="P15" s="56"/>
    </row>
    <row r="16" spans="1:92" ht="15" customHeight="1" x14ac:dyDescent="0.2">
      <c r="A16" s="9">
        <v>1</v>
      </c>
      <c r="B16" s="118" t="s">
        <v>23</v>
      </c>
      <c r="C16" s="118"/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0">
        <f>AVERAGE(D16:J16)</f>
        <v>0</v>
      </c>
    </row>
    <row r="17" spans="1:16" ht="15" customHeight="1" x14ac:dyDescent="0.2">
      <c r="A17" s="9">
        <v>2</v>
      </c>
      <c r="B17" s="118" t="s">
        <v>24</v>
      </c>
      <c r="C17" s="118"/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0">
        <f t="shared" ref="K17:K18" si="1">AVERAGE(D17:J17)</f>
        <v>0</v>
      </c>
    </row>
    <row r="18" spans="1:16" ht="15" customHeight="1" x14ac:dyDescent="0.2">
      <c r="A18" s="9">
        <v>3</v>
      </c>
      <c r="B18" s="118" t="s">
        <v>25</v>
      </c>
      <c r="C18" s="118"/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0">
        <f t="shared" si="1"/>
        <v>0</v>
      </c>
    </row>
    <row r="19" spans="1:16" ht="15" customHeight="1" x14ac:dyDescent="0.2">
      <c r="A19" s="9">
        <v>4</v>
      </c>
      <c r="B19" s="118" t="s">
        <v>26</v>
      </c>
      <c r="C19" s="118"/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0">
        <f>AVERAGE(D19:J19)</f>
        <v>0</v>
      </c>
    </row>
    <row r="20" spans="1:16" s="6" customFormat="1" ht="15" customHeight="1" x14ac:dyDescent="0.2">
      <c r="A20" s="127" t="s">
        <v>27</v>
      </c>
      <c r="B20" s="127"/>
      <c r="C20" s="127"/>
      <c r="D20" s="11">
        <f t="shared" ref="D20:G21" si="2">D16+D18</f>
        <v>0</v>
      </c>
      <c r="E20" s="11">
        <f t="shared" si="2"/>
        <v>0</v>
      </c>
      <c r="F20" s="11">
        <f t="shared" si="2"/>
        <v>0</v>
      </c>
      <c r="G20" s="11">
        <f t="shared" si="2"/>
        <v>0</v>
      </c>
      <c r="H20" s="11">
        <f>H16+H18</f>
        <v>0</v>
      </c>
      <c r="I20" s="11">
        <f t="shared" ref="H20:J21" si="3">I16+I18</f>
        <v>0</v>
      </c>
      <c r="J20" s="11">
        <f t="shared" si="3"/>
        <v>0</v>
      </c>
      <c r="K20" s="11">
        <f>K16+K18</f>
        <v>0</v>
      </c>
    </row>
    <row r="21" spans="1:16" s="6" customFormat="1" ht="15" customHeight="1" x14ac:dyDescent="0.2">
      <c r="A21" s="127" t="s">
        <v>28</v>
      </c>
      <c r="B21" s="127"/>
      <c r="C21" s="127"/>
      <c r="D21" s="11">
        <f t="shared" si="2"/>
        <v>0</v>
      </c>
      <c r="E21" s="11">
        <f t="shared" si="2"/>
        <v>0</v>
      </c>
      <c r="F21" s="11">
        <f t="shared" si="2"/>
        <v>0</v>
      </c>
      <c r="G21" s="11">
        <f t="shared" si="2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>K17+K19</f>
        <v>0</v>
      </c>
    </row>
    <row r="22" spans="1:16" ht="15" customHeight="1" x14ac:dyDescent="0.2">
      <c r="A22" s="9">
        <v>5</v>
      </c>
      <c r="B22" s="118" t="s">
        <v>29</v>
      </c>
      <c r="C22" s="118"/>
      <c r="D22" s="26">
        <f t="shared" ref="D22:H25" si="4">D16*8.5</f>
        <v>0</v>
      </c>
      <c r="E22" s="26">
        <f t="shared" si="4"/>
        <v>0</v>
      </c>
      <c r="F22" s="26">
        <f t="shared" si="4"/>
        <v>0</v>
      </c>
      <c r="G22" s="26">
        <f t="shared" si="4"/>
        <v>0</v>
      </c>
      <c r="H22" s="26">
        <f>H16*8.5</f>
        <v>0</v>
      </c>
      <c r="I22" s="26">
        <f>I16*5.5</f>
        <v>0</v>
      </c>
      <c r="J22" s="26">
        <f>J16*5.5</f>
        <v>0</v>
      </c>
      <c r="K22" s="20">
        <f>SUM(D22:J22)</f>
        <v>0</v>
      </c>
    </row>
    <row r="23" spans="1:16" ht="15" customHeight="1" x14ac:dyDescent="0.2">
      <c r="A23" s="9">
        <v>6</v>
      </c>
      <c r="B23" s="118" t="s">
        <v>30</v>
      </c>
      <c r="C23" s="118"/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ref="I23:J25" si="5">I17*5.5</f>
        <v>0</v>
      </c>
      <c r="J23" s="26">
        <f t="shared" si="5"/>
        <v>0</v>
      </c>
      <c r="K23" s="20">
        <f t="shared" ref="K23:K25" si="6">SUM(D23:J23)</f>
        <v>0</v>
      </c>
    </row>
    <row r="24" spans="1:16" ht="15" customHeight="1" x14ac:dyDescent="0.2">
      <c r="A24" s="9">
        <v>7</v>
      </c>
      <c r="B24" s="118" t="s">
        <v>31</v>
      </c>
      <c r="C24" s="118"/>
      <c r="D24" s="26">
        <f t="shared" si="4"/>
        <v>0</v>
      </c>
      <c r="E24" s="26">
        <f t="shared" si="4"/>
        <v>0</v>
      </c>
      <c r="F24" s="26">
        <f>F18*8.5</f>
        <v>0</v>
      </c>
      <c r="G24" s="26">
        <f t="shared" si="4"/>
        <v>0</v>
      </c>
      <c r="H24" s="26">
        <f t="shared" si="4"/>
        <v>0</v>
      </c>
      <c r="I24" s="26">
        <f t="shared" si="5"/>
        <v>0</v>
      </c>
      <c r="J24" s="26">
        <f t="shared" si="5"/>
        <v>0</v>
      </c>
      <c r="K24" s="20">
        <f t="shared" si="6"/>
        <v>0</v>
      </c>
    </row>
    <row r="25" spans="1:16" ht="15" customHeight="1" x14ac:dyDescent="0.2">
      <c r="A25" s="9">
        <v>8</v>
      </c>
      <c r="B25" s="118" t="s">
        <v>32</v>
      </c>
      <c r="C25" s="118"/>
      <c r="D25" s="26">
        <f t="shared" si="4"/>
        <v>0</v>
      </c>
      <c r="E25" s="26">
        <f t="shared" si="4"/>
        <v>0</v>
      </c>
      <c r="F25" s="26">
        <f t="shared" si="4"/>
        <v>0</v>
      </c>
      <c r="G25" s="26">
        <f t="shared" si="4"/>
        <v>0</v>
      </c>
      <c r="H25" s="26">
        <f t="shared" si="4"/>
        <v>0</v>
      </c>
      <c r="I25" s="26">
        <f t="shared" si="5"/>
        <v>0</v>
      </c>
      <c r="J25" s="26">
        <f t="shared" si="5"/>
        <v>0</v>
      </c>
      <c r="K25" s="20">
        <f t="shared" si="6"/>
        <v>0</v>
      </c>
    </row>
    <row r="26" spans="1:16" s="6" customFormat="1" ht="15" customHeight="1" x14ac:dyDescent="0.2">
      <c r="A26" s="127" t="s">
        <v>33</v>
      </c>
      <c r="B26" s="127"/>
      <c r="C26" s="127"/>
      <c r="D26" s="11">
        <f>D22+D24</f>
        <v>0</v>
      </c>
      <c r="E26" s="11">
        <f t="shared" ref="E26:J27" si="7">E22+E24</f>
        <v>0</v>
      </c>
      <c r="F26" s="11">
        <f t="shared" si="7"/>
        <v>0</v>
      </c>
      <c r="G26" s="11">
        <f t="shared" si="7"/>
        <v>0</v>
      </c>
      <c r="H26" s="11">
        <f>H22+H24</f>
        <v>0</v>
      </c>
      <c r="I26" s="11">
        <f t="shared" ref="I26:J26" si="8">I22+I24</f>
        <v>0</v>
      </c>
      <c r="J26" s="11">
        <f t="shared" si="8"/>
        <v>0</v>
      </c>
      <c r="K26" s="11">
        <f>K22+K24</f>
        <v>0</v>
      </c>
    </row>
    <row r="27" spans="1:16" s="6" customFormat="1" ht="15" customHeight="1" x14ac:dyDescent="0.2">
      <c r="A27" s="127" t="s">
        <v>34</v>
      </c>
      <c r="B27" s="127"/>
      <c r="C27" s="127"/>
      <c r="D27" s="11">
        <f>D23+D25</f>
        <v>0</v>
      </c>
      <c r="E27" s="11">
        <f t="shared" si="7"/>
        <v>0</v>
      </c>
      <c r="F27" s="11">
        <f t="shared" si="7"/>
        <v>0</v>
      </c>
      <c r="G27" s="11">
        <f t="shared" si="7"/>
        <v>0</v>
      </c>
      <c r="H27" s="11">
        <f t="shared" si="7"/>
        <v>0</v>
      </c>
      <c r="I27" s="11">
        <f t="shared" si="7"/>
        <v>0</v>
      </c>
      <c r="J27" s="11">
        <f t="shared" si="7"/>
        <v>0</v>
      </c>
      <c r="K27" s="11">
        <f>K23+K25</f>
        <v>0</v>
      </c>
    </row>
    <row r="28" spans="1:16" s="10" customFormat="1" ht="15" customHeight="1" x14ac:dyDescent="0.2">
      <c r="A28" s="185" t="s">
        <v>13</v>
      </c>
      <c r="B28" s="185"/>
      <c r="C28" s="185"/>
      <c r="D28" s="202" t="s">
        <v>35</v>
      </c>
      <c r="E28" s="203"/>
      <c r="F28" s="203"/>
      <c r="G28" s="203"/>
      <c r="H28" s="203"/>
      <c r="I28" s="203"/>
      <c r="J28" s="203"/>
      <c r="K28" s="204"/>
    </row>
    <row r="29" spans="1:16" ht="15" customHeight="1" x14ac:dyDescent="0.2">
      <c r="A29" s="185"/>
      <c r="B29" s="185"/>
      <c r="C29" s="185"/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20</v>
      </c>
      <c r="J29" s="12" t="s">
        <v>21</v>
      </c>
      <c r="K29" s="185" t="s">
        <v>22</v>
      </c>
    </row>
    <row r="30" spans="1:16" s="8" customFormat="1" ht="15" customHeight="1" x14ac:dyDescent="0.2">
      <c r="A30" s="185"/>
      <c r="B30" s="185"/>
      <c r="C30" s="185"/>
      <c r="D30" s="21">
        <f>D15</f>
        <v>46125</v>
      </c>
      <c r="E30" s="21">
        <f t="shared" ref="E30:J30" si="9">E15</f>
        <v>46126</v>
      </c>
      <c r="F30" s="21">
        <f t="shared" si="9"/>
        <v>46127</v>
      </c>
      <c r="G30" s="21">
        <f t="shared" si="9"/>
        <v>46128</v>
      </c>
      <c r="H30" s="21">
        <f t="shared" si="9"/>
        <v>46129</v>
      </c>
      <c r="I30" s="21">
        <f t="shared" si="9"/>
        <v>46130</v>
      </c>
      <c r="J30" s="21">
        <f t="shared" si="9"/>
        <v>46131</v>
      </c>
      <c r="K30" s="185"/>
      <c r="P30" s="56"/>
    </row>
    <row r="31" spans="1:16" ht="15" customHeight="1" x14ac:dyDescent="0.2">
      <c r="A31" s="9">
        <v>9</v>
      </c>
      <c r="B31" s="118" t="s">
        <v>23</v>
      </c>
      <c r="C31" s="118"/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0">
        <f>AVERAGE(D31:J31)</f>
        <v>0</v>
      </c>
    </row>
    <row r="32" spans="1:16" ht="15" customHeight="1" x14ac:dyDescent="0.2">
      <c r="A32" s="9">
        <v>10</v>
      </c>
      <c r="B32" s="118" t="s">
        <v>24</v>
      </c>
      <c r="C32" s="118"/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0">
        <f t="shared" ref="K32:K33" si="10">AVERAGE(D32:J32)</f>
        <v>0</v>
      </c>
    </row>
    <row r="33" spans="1:16" ht="15" customHeight="1" x14ac:dyDescent="0.2">
      <c r="A33" s="9">
        <v>11</v>
      </c>
      <c r="B33" s="118" t="s">
        <v>25</v>
      </c>
      <c r="C33" s="118"/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0">
        <f t="shared" si="10"/>
        <v>0</v>
      </c>
    </row>
    <row r="34" spans="1:16" ht="15" customHeight="1" x14ac:dyDescent="0.2">
      <c r="A34" s="9">
        <v>12</v>
      </c>
      <c r="B34" s="118" t="s">
        <v>26</v>
      </c>
      <c r="C34" s="118"/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0">
        <f>AVERAGE(D34:J34)</f>
        <v>0</v>
      </c>
    </row>
    <row r="35" spans="1:16" s="6" customFormat="1" ht="15" customHeight="1" x14ac:dyDescent="0.2">
      <c r="A35" s="127" t="s">
        <v>27</v>
      </c>
      <c r="B35" s="127"/>
      <c r="C35" s="127"/>
      <c r="D35" s="11">
        <f t="shared" ref="D35:J36" si="11">D31+D33</f>
        <v>0</v>
      </c>
      <c r="E35" s="11">
        <f t="shared" si="11"/>
        <v>0</v>
      </c>
      <c r="F35" s="11">
        <f t="shared" si="11"/>
        <v>0</v>
      </c>
      <c r="G35" s="11">
        <f t="shared" si="11"/>
        <v>0</v>
      </c>
      <c r="H35" s="11">
        <f>H31+H33</f>
        <v>0</v>
      </c>
      <c r="I35" s="11">
        <f t="shared" ref="I35:J35" si="12">I31+I33</f>
        <v>0</v>
      </c>
      <c r="J35" s="11">
        <f t="shared" si="12"/>
        <v>0</v>
      </c>
      <c r="K35" s="11">
        <f>K31+K33</f>
        <v>0</v>
      </c>
    </row>
    <row r="36" spans="1:16" s="6" customFormat="1" ht="15" customHeight="1" x14ac:dyDescent="0.2">
      <c r="A36" s="127" t="s">
        <v>28</v>
      </c>
      <c r="B36" s="127"/>
      <c r="C36" s="127"/>
      <c r="D36" s="11">
        <f t="shared" si="11"/>
        <v>0</v>
      </c>
      <c r="E36" s="11">
        <f t="shared" si="11"/>
        <v>0</v>
      </c>
      <c r="F36" s="11">
        <f t="shared" si="11"/>
        <v>0</v>
      </c>
      <c r="G36" s="11">
        <f t="shared" si="11"/>
        <v>0</v>
      </c>
      <c r="H36" s="11">
        <f t="shared" si="11"/>
        <v>0</v>
      </c>
      <c r="I36" s="11">
        <f t="shared" si="11"/>
        <v>0</v>
      </c>
      <c r="J36" s="11">
        <f t="shared" si="11"/>
        <v>0</v>
      </c>
      <c r="K36" s="11">
        <f>K32+K34</f>
        <v>0</v>
      </c>
    </row>
    <row r="37" spans="1:16" ht="15" customHeight="1" x14ac:dyDescent="0.2">
      <c r="A37" s="9">
        <v>13</v>
      </c>
      <c r="B37" s="118" t="s">
        <v>29</v>
      </c>
      <c r="C37" s="118"/>
      <c r="D37" s="26">
        <f t="shared" ref="D37:H40" si="13">D31*8.5</f>
        <v>0</v>
      </c>
      <c r="E37" s="26">
        <f t="shared" si="13"/>
        <v>0</v>
      </c>
      <c r="F37" s="26">
        <f t="shared" si="13"/>
        <v>0</v>
      </c>
      <c r="G37" s="26">
        <f t="shared" si="13"/>
        <v>0</v>
      </c>
      <c r="H37" s="26">
        <f>H31*8.5</f>
        <v>0</v>
      </c>
      <c r="I37" s="26">
        <f>I31*5.5</f>
        <v>0</v>
      </c>
      <c r="J37" s="26">
        <f>J31*5.5</f>
        <v>0</v>
      </c>
      <c r="K37" s="20">
        <f>SUM(D37:J37)</f>
        <v>0</v>
      </c>
    </row>
    <row r="38" spans="1:16" ht="15" customHeight="1" x14ac:dyDescent="0.2">
      <c r="A38" s="9">
        <v>14</v>
      </c>
      <c r="B38" s="118" t="s">
        <v>30</v>
      </c>
      <c r="C38" s="118"/>
      <c r="D38" s="26">
        <f t="shared" si="13"/>
        <v>0</v>
      </c>
      <c r="E38" s="26">
        <f t="shared" si="13"/>
        <v>0</v>
      </c>
      <c r="F38" s="26">
        <f t="shared" si="13"/>
        <v>0</v>
      </c>
      <c r="G38" s="26">
        <f t="shared" si="13"/>
        <v>0</v>
      </c>
      <c r="H38" s="26">
        <f t="shared" si="13"/>
        <v>0</v>
      </c>
      <c r="I38" s="26">
        <f t="shared" ref="I38:J40" si="14">I32*5.5</f>
        <v>0</v>
      </c>
      <c r="J38" s="26">
        <f t="shared" si="14"/>
        <v>0</v>
      </c>
      <c r="K38" s="20">
        <f t="shared" ref="K38:K40" si="15">SUM(D38:J38)</f>
        <v>0</v>
      </c>
    </row>
    <row r="39" spans="1:16" ht="15" customHeight="1" x14ac:dyDescent="0.2">
      <c r="A39" s="9">
        <v>15</v>
      </c>
      <c r="B39" s="118" t="s">
        <v>31</v>
      </c>
      <c r="C39" s="118"/>
      <c r="D39" s="26">
        <f t="shared" si="13"/>
        <v>0</v>
      </c>
      <c r="E39" s="26">
        <f t="shared" si="13"/>
        <v>0</v>
      </c>
      <c r="F39" s="26">
        <f>F33*8.5</f>
        <v>0</v>
      </c>
      <c r="G39" s="26">
        <f t="shared" si="13"/>
        <v>0</v>
      </c>
      <c r="H39" s="26">
        <f t="shared" si="13"/>
        <v>0</v>
      </c>
      <c r="I39" s="26">
        <f t="shared" si="14"/>
        <v>0</v>
      </c>
      <c r="J39" s="26">
        <f t="shared" si="14"/>
        <v>0</v>
      </c>
      <c r="K39" s="20">
        <f t="shared" si="15"/>
        <v>0</v>
      </c>
    </row>
    <row r="40" spans="1:16" ht="15" customHeight="1" x14ac:dyDescent="0.2">
      <c r="A40" s="9">
        <v>16</v>
      </c>
      <c r="B40" s="118" t="s">
        <v>32</v>
      </c>
      <c r="C40" s="118"/>
      <c r="D40" s="26">
        <f t="shared" si="13"/>
        <v>0</v>
      </c>
      <c r="E40" s="26">
        <f t="shared" si="13"/>
        <v>0</v>
      </c>
      <c r="F40" s="26">
        <f t="shared" si="13"/>
        <v>0</v>
      </c>
      <c r="G40" s="26">
        <f t="shared" si="13"/>
        <v>0</v>
      </c>
      <c r="H40" s="26">
        <f t="shared" si="13"/>
        <v>0</v>
      </c>
      <c r="I40" s="26">
        <f t="shared" si="14"/>
        <v>0</v>
      </c>
      <c r="J40" s="26">
        <f t="shared" si="14"/>
        <v>0</v>
      </c>
      <c r="K40" s="20">
        <f t="shared" si="15"/>
        <v>0</v>
      </c>
    </row>
    <row r="41" spans="1:16" s="6" customFormat="1" ht="15" customHeight="1" x14ac:dyDescent="0.2">
      <c r="A41" s="127" t="s">
        <v>33</v>
      </c>
      <c r="B41" s="127"/>
      <c r="C41" s="127"/>
      <c r="D41" s="11">
        <f>D37+D39</f>
        <v>0</v>
      </c>
      <c r="E41" s="11">
        <f t="shared" ref="E41:J42" si="16">E37+E39</f>
        <v>0</v>
      </c>
      <c r="F41" s="11">
        <f t="shared" si="16"/>
        <v>0</v>
      </c>
      <c r="G41" s="11">
        <f t="shared" si="16"/>
        <v>0</v>
      </c>
      <c r="H41" s="11">
        <f>H37+H39</f>
        <v>0</v>
      </c>
      <c r="I41" s="11">
        <f t="shared" ref="I41:J41" si="17">I37+I39</f>
        <v>0</v>
      </c>
      <c r="J41" s="11">
        <f t="shared" si="17"/>
        <v>0</v>
      </c>
      <c r="K41" s="11">
        <f>K37+K39</f>
        <v>0</v>
      </c>
    </row>
    <row r="42" spans="1:16" s="6" customFormat="1" ht="15" customHeight="1" x14ac:dyDescent="0.2">
      <c r="A42" s="127" t="s">
        <v>34</v>
      </c>
      <c r="B42" s="127"/>
      <c r="C42" s="127"/>
      <c r="D42" s="11">
        <f>D38+D40</f>
        <v>0</v>
      </c>
      <c r="E42" s="11">
        <f t="shared" si="16"/>
        <v>0</v>
      </c>
      <c r="F42" s="11">
        <f t="shared" si="16"/>
        <v>0</v>
      </c>
      <c r="G42" s="11">
        <f t="shared" si="16"/>
        <v>0</v>
      </c>
      <c r="H42" s="11">
        <f t="shared" si="16"/>
        <v>0</v>
      </c>
      <c r="I42" s="11">
        <f t="shared" si="16"/>
        <v>0</v>
      </c>
      <c r="J42" s="11">
        <f t="shared" si="16"/>
        <v>0</v>
      </c>
      <c r="K42" s="11">
        <f>K38+K40</f>
        <v>0</v>
      </c>
    </row>
    <row r="43" spans="1:16" s="10" customFormat="1" ht="15" customHeight="1" x14ac:dyDescent="0.2">
      <c r="A43" s="185" t="s">
        <v>13</v>
      </c>
      <c r="B43" s="185"/>
      <c r="C43" s="185"/>
      <c r="D43" s="202" t="s">
        <v>36</v>
      </c>
      <c r="E43" s="203"/>
      <c r="F43" s="203"/>
      <c r="G43" s="203"/>
      <c r="H43" s="203"/>
      <c r="I43" s="203"/>
      <c r="J43" s="203"/>
      <c r="K43" s="204"/>
    </row>
    <row r="44" spans="1:16" ht="15" customHeight="1" x14ac:dyDescent="0.2">
      <c r="A44" s="185"/>
      <c r="B44" s="185"/>
      <c r="C44" s="185"/>
      <c r="D44" s="12" t="s">
        <v>15</v>
      </c>
      <c r="E44" s="12" t="s">
        <v>16</v>
      </c>
      <c r="F44" s="12" t="s">
        <v>17</v>
      </c>
      <c r="G44" s="12" t="s">
        <v>18</v>
      </c>
      <c r="H44" s="12" t="s">
        <v>19</v>
      </c>
      <c r="I44" s="12" t="s">
        <v>20</v>
      </c>
      <c r="J44" s="12" t="s">
        <v>21</v>
      </c>
      <c r="K44" s="185" t="s">
        <v>22</v>
      </c>
    </row>
    <row r="45" spans="1:16" s="8" customFormat="1" ht="15" customHeight="1" x14ac:dyDescent="0.2">
      <c r="A45" s="185"/>
      <c r="B45" s="185"/>
      <c r="C45" s="185"/>
      <c r="D45" s="21">
        <f>D30</f>
        <v>46125</v>
      </c>
      <c r="E45" s="21">
        <f t="shared" ref="E45:J45" si="18">E30</f>
        <v>46126</v>
      </c>
      <c r="F45" s="21">
        <f t="shared" si="18"/>
        <v>46127</v>
      </c>
      <c r="G45" s="21">
        <f t="shared" si="18"/>
        <v>46128</v>
      </c>
      <c r="H45" s="21">
        <f t="shared" si="18"/>
        <v>46129</v>
      </c>
      <c r="I45" s="21">
        <f t="shared" si="18"/>
        <v>46130</v>
      </c>
      <c r="J45" s="21">
        <f t="shared" si="18"/>
        <v>46131</v>
      </c>
      <c r="K45" s="185"/>
      <c r="P45" s="56"/>
    </row>
    <row r="46" spans="1:16" ht="15" customHeight="1" x14ac:dyDescent="0.2">
      <c r="A46" s="9">
        <v>17</v>
      </c>
      <c r="B46" s="118" t="s">
        <v>23</v>
      </c>
      <c r="C46" s="118"/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0">
        <f>AVERAGE(D46:J46)</f>
        <v>0</v>
      </c>
    </row>
    <row r="47" spans="1:16" ht="15" customHeight="1" x14ac:dyDescent="0.2">
      <c r="A47" s="9">
        <v>18</v>
      </c>
      <c r="B47" s="118" t="s">
        <v>24</v>
      </c>
      <c r="C47" s="118"/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0">
        <f t="shared" ref="K47:K48" si="19">AVERAGE(D47:J47)</f>
        <v>0</v>
      </c>
    </row>
    <row r="48" spans="1:16" ht="15" customHeight="1" x14ac:dyDescent="0.2">
      <c r="A48" s="9">
        <v>19</v>
      </c>
      <c r="B48" s="118" t="s">
        <v>25</v>
      </c>
      <c r="C48" s="118"/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0">
        <f t="shared" si="19"/>
        <v>0</v>
      </c>
    </row>
    <row r="49" spans="1:16" ht="15" customHeight="1" x14ac:dyDescent="0.2">
      <c r="A49" s="9">
        <v>20</v>
      </c>
      <c r="B49" s="118" t="s">
        <v>26</v>
      </c>
      <c r="C49" s="118"/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0">
        <f>AVERAGE(D49:J49)</f>
        <v>0</v>
      </c>
    </row>
    <row r="50" spans="1:16" s="6" customFormat="1" ht="15" customHeight="1" x14ac:dyDescent="0.2">
      <c r="A50" s="127" t="s">
        <v>27</v>
      </c>
      <c r="B50" s="127"/>
      <c r="C50" s="127"/>
      <c r="D50" s="11">
        <f t="shared" ref="D50:J51" si="20">D46+D48</f>
        <v>0</v>
      </c>
      <c r="E50" s="11">
        <f t="shared" si="20"/>
        <v>0</v>
      </c>
      <c r="F50" s="11">
        <f t="shared" si="20"/>
        <v>0</v>
      </c>
      <c r="G50" s="11">
        <f t="shared" si="20"/>
        <v>0</v>
      </c>
      <c r="H50" s="11">
        <f>H46+H48</f>
        <v>0</v>
      </c>
      <c r="I50" s="11">
        <f t="shared" ref="I50:J50" si="21">I46+I48</f>
        <v>0</v>
      </c>
      <c r="J50" s="11">
        <f t="shared" si="21"/>
        <v>0</v>
      </c>
      <c r="K50" s="11">
        <f>K46+K48</f>
        <v>0</v>
      </c>
    </row>
    <row r="51" spans="1:16" s="6" customFormat="1" ht="15" customHeight="1" x14ac:dyDescent="0.2">
      <c r="A51" s="127" t="s">
        <v>28</v>
      </c>
      <c r="B51" s="127"/>
      <c r="C51" s="127"/>
      <c r="D51" s="11">
        <f t="shared" si="20"/>
        <v>0</v>
      </c>
      <c r="E51" s="11">
        <f t="shared" si="20"/>
        <v>0</v>
      </c>
      <c r="F51" s="11">
        <f t="shared" si="20"/>
        <v>0</v>
      </c>
      <c r="G51" s="11">
        <f t="shared" si="20"/>
        <v>0</v>
      </c>
      <c r="H51" s="11">
        <f t="shared" si="20"/>
        <v>0</v>
      </c>
      <c r="I51" s="11">
        <f t="shared" si="20"/>
        <v>0</v>
      </c>
      <c r="J51" s="11">
        <f t="shared" si="20"/>
        <v>0</v>
      </c>
      <c r="K51" s="11">
        <f>K47+K49</f>
        <v>0</v>
      </c>
    </row>
    <row r="52" spans="1:16" ht="15" customHeight="1" x14ac:dyDescent="0.2">
      <c r="A52" s="9">
        <v>21</v>
      </c>
      <c r="B52" s="118" t="s">
        <v>29</v>
      </c>
      <c r="C52" s="118"/>
      <c r="D52" s="26">
        <f t="shared" ref="D52:H55" si="22">D46*8.5</f>
        <v>0</v>
      </c>
      <c r="E52" s="26">
        <f t="shared" si="22"/>
        <v>0</v>
      </c>
      <c r="F52" s="26">
        <f t="shared" si="22"/>
        <v>0</v>
      </c>
      <c r="G52" s="26">
        <f t="shared" si="22"/>
        <v>0</v>
      </c>
      <c r="H52" s="26">
        <f>H46*8.5</f>
        <v>0</v>
      </c>
      <c r="I52" s="26">
        <f>I46*5.5</f>
        <v>0</v>
      </c>
      <c r="J52" s="26">
        <f>J46*5.5</f>
        <v>0</v>
      </c>
      <c r="K52" s="20">
        <f>SUM(D52:J52)</f>
        <v>0</v>
      </c>
    </row>
    <row r="53" spans="1:16" ht="15" customHeight="1" x14ac:dyDescent="0.2">
      <c r="A53" s="9">
        <v>22</v>
      </c>
      <c r="B53" s="118" t="s">
        <v>30</v>
      </c>
      <c r="C53" s="118"/>
      <c r="D53" s="26">
        <f t="shared" si="22"/>
        <v>0</v>
      </c>
      <c r="E53" s="26">
        <f t="shared" si="22"/>
        <v>0</v>
      </c>
      <c r="F53" s="26">
        <f t="shared" si="22"/>
        <v>0</v>
      </c>
      <c r="G53" s="26">
        <f t="shared" si="22"/>
        <v>0</v>
      </c>
      <c r="H53" s="26">
        <f t="shared" si="22"/>
        <v>0</v>
      </c>
      <c r="I53" s="26">
        <f t="shared" ref="I53:J55" si="23">I47*5.5</f>
        <v>0</v>
      </c>
      <c r="J53" s="26">
        <f t="shared" si="23"/>
        <v>0</v>
      </c>
      <c r="K53" s="20">
        <f t="shared" ref="K53:K55" si="24">SUM(D53:J53)</f>
        <v>0</v>
      </c>
    </row>
    <row r="54" spans="1:16" ht="15" customHeight="1" x14ac:dyDescent="0.2">
      <c r="A54" s="9">
        <v>23</v>
      </c>
      <c r="B54" s="118" t="s">
        <v>31</v>
      </c>
      <c r="C54" s="118"/>
      <c r="D54" s="26">
        <f t="shared" si="22"/>
        <v>0</v>
      </c>
      <c r="E54" s="26">
        <f t="shared" si="22"/>
        <v>0</v>
      </c>
      <c r="F54" s="26">
        <f>F48*8.5</f>
        <v>0</v>
      </c>
      <c r="G54" s="26">
        <f t="shared" si="22"/>
        <v>0</v>
      </c>
      <c r="H54" s="26">
        <f t="shared" si="22"/>
        <v>0</v>
      </c>
      <c r="I54" s="26">
        <f t="shared" si="23"/>
        <v>0</v>
      </c>
      <c r="J54" s="26">
        <f t="shared" si="23"/>
        <v>0</v>
      </c>
      <c r="K54" s="20">
        <f t="shared" si="24"/>
        <v>0</v>
      </c>
    </row>
    <row r="55" spans="1:16" ht="15" customHeight="1" x14ac:dyDescent="0.2">
      <c r="A55" s="9">
        <v>24</v>
      </c>
      <c r="B55" s="118" t="s">
        <v>32</v>
      </c>
      <c r="C55" s="118"/>
      <c r="D55" s="26">
        <f t="shared" si="22"/>
        <v>0</v>
      </c>
      <c r="E55" s="26">
        <f t="shared" si="22"/>
        <v>0</v>
      </c>
      <c r="F55" s="26">
        <f t="shared" si="22"/>
        <v>0</v>
      </c>
      <c r="G55" s="26">
        <f t="shared" si="22"/>
        <v>0</v>
      </c>
      <c r="H55" s="26">
        <f t="shared" si="22"/>
        <v>0</v>
      </c>
      <c r="I55" s="26">
        <f t="shared" si="23"/>
        <v>0</v>
      </c>
      <c r="J55" s="26">
        <f t="shared" si="23"/>
        <v>0</v>
      </c>
      <c r="K55" s="20">
        <f t="shared" si="24"/>
        <v>0</v>
      </c>
    </row>
    <row r="56" spans="1:16" s="6" customFormat="1" ht="15" customHeight="1" x14ac:dyDescent="0.2">
      <c r="A56" s="127" t="s">
        <v>33</v>
      </c>
      <c r="B56" s="127"/>
      <c r="C56" s="127"/>
      <c r="D56" s="11">
        <f>D52+D54</f>
        <v>0</v>
      </c>
      <c r="E56" s="11">
        <f t="shared" ref="E56:J57" si="25">E52+E54</f>
        <v>0</v>
      </c>
      <c r="F56" s="11">
        <f t="shared" si="25"/>
        <v>0</v>
      </c>
      <c r="G56" s="11">
        <f t="shared" si="25"/>
        <v>0</v>
      </c>
      <c r="H56" s="11">
        <f>H52+H54</f>
        <v>0</v>
      </c>
      <c r="I56" s="11">
        <f t="shared" ref="I56:J56" si="26">I52+I54</f>
        <v>0</v>
      </c>
      <c r="J56" s="11">
        <f t="shared" si="26"/>
        <v>0</v>
      </c>
      <c r="K56" s="11">
        <f>K52+K54</f>
        <v>0</v>
      </c>
    </row>
    <row r="57" spans="1:16" s="6" customFormat="1" ht="15" customHeight="1" x14ac:dyDescent="0.2">
      <c r="A57" s="127" t="s">
        <v>34</v>
      </c>
      <c r="B57" s="127"/>
      <c r="C57" s="127"/>
      <c r="D57" s="11">
        <f>D53+D55</f>
        <v>0</v>
      </c>
      <c r="E57" s="11">
        <f t="shared" si="25"/>
        <v>0</v>
      </c>
      <c r="F57" s="11">
        <f t="shared" si="25"/>
        <v>0</v>
      </c>
      <c r="G57" s="11">
        <f t="shared" si="25"/>
        <v>0</v>
      </c>
      <c r="H57" s="11">
        <f t="shared" si="25"/>
        <v>0</v>
      </c>
      <c r="I57" s="11">
        <f t="shared" si="25"/>
        <v>0</v>
      </c>
      <c r="J57" s="11">
        <f t="shared" si="25"/>
        <v>0</v>
      </c>
      <c r="K57" s="11">
        <f>K53+K55</f>
        <v>0</v>
      </c>
    </row>
    <row r="58" spans="1:16" s="10" customFormat="1" ht="15" customHeight="1" x14ac:dyDescent="0.2">
      <c r="A58" s="185" t="s">
        <v>13</v>
      </c>
      <c r="B58" s="185"/>
      <c r="C58" s="185"/>
      <c r="D58" s="202" t="s">
        <v>37</v>
      </c>
      <c r="E58" s="203"/>
      <c r="F58" s="203"/>
      <c r="G58" s="203"/>
      <c r="H58" s="203"/>
      <c r="I58" s="203"/>
      <c r="J58" s="203"/>
      <c r="K58" s="204"/>
    </row>
    <row r="59" spans="1:16" ht="15" customHeight="1" x14ac:dyDescent="0.2">
      <c r="A59" s="185"/>
      <c r="B59" s="185"/>
      <c r="C59" s="185"/>
      <c r="D59" s="12" t="s">
        <v>15</v>
      </c>
      <c r="E59" s="12" t="s">
        <v>16</v>
      </c>
      <c r="F59" s="12" t="s">
        <v>17</v>
      </c>
      <c r="G59" s="12" t="s">
        <v>18</v>
      </c>
      <c r="H59" s="12" t="s">
        <v>19</v>
      </c>
      <c r="I59" s="12" t="s">
        <v>20</v>
      </c>
      <c r="J59" s="12" t="s">
        <v>21</v>
      </c>
      <c r="K59" s="185" t="s">
        <v>22</v>
      </c>
    </row>
    <row r="60" spans="1:16" s="8" customFormat="1" ht="15" customHeight="1" x14ac:dyDescent="0.2">
      <c r="A60" s="185"/>
      <c r="B60" s="185"/>
      <c r="C60" s="185"/>
      <c r="D60" s="21">
        <f>D45</f>
        <v>46125</v>
      </c>
      <c r="E60" s="21">
        <f t="shared" ref="E60:J60" si="27">E45</f>
        <v>46126</v>
      </c>
      <c r="F60" s="21">
        <f t="shared" si="27"/>
        <v>46127</v>
      </c>
      <c r="G60" s="21">
        <f t="shared" si="27"/>
        <v>46128</v>
      </c>
      <c r="H60" s="21">
        <f t="shared" si="27"/>
        <v>46129</v>
      </c>
      <c r="I60" s="21">
        <f t="shared" si="27"/>
        <v>46130</v>
      </c>
      <c r="J60" s="21">
        <f t="shared" si="27"/>
        <v>46131</v>
      </c>
      <c r="K60" s="185"/>
      <c r="P60" s="56"/>
    </row>
    <row r="61" spans="1:16" ht="15" customHeight="1" x14ac:dyDescent="0.2">
      <c r="A61" s="9">
        <v>25</v>
      </c>
      <c r="B61" s="118" t="s">
        <v>23</v>
      </c>
      <c r="C61" s="118"/>
      <c r="D61" s="26">
        <f>D16+D31</f>
        <v>0</v>
      </c>
      <c r="E61" s="26">
        <f t="shared" ref="E61:E64" si="28">E16+E31</f>
        <v>0</v>
      </c>
      <c r="F61" s="26">
        <f>F16+F31</f>
        <v>0</v>
      </c>
      <c r="G61" s="26">
        <f>G16+G31</f>
        <v>0</v>
      </c>
      <c r="H61" s="26">
        <f>H16+H31</f>
        <v>0</v>
      </c>
      <c r="I61" s="26">
        <f>I16+I31</f>
        <v>0</v>
      </c>
      <c r="J61" s="26">
        <f t="shared" ref="J61:J64" si="29">J16+J31+J46</f>
        <v>0</v>
      </c>
      <c r="K61" s="20">
        <f>AVERAGE(D61:J61)</f>
        <v>0</v>
      </c>
    </row>
    <row r="62" spans="1:16" ht="15" customHeight="1" x14ac:dyDescent="0.2">
      <c r="A62" s="9">
        <v>26</v>
      </c>
      <c r="B62" s="118" t="s">
        <v>24</v>
      </c>
      <c r="C62" s="118"/>
      <c r="D62" s="26">
        <f>D17+D32</f>
        <v>0</v>
      </c>
      <c r="E62" s="26">
        <f t="shared" si="28"/>
        <v>0</v>
      </c>
      <c r="F62" s="26">
        <f>F17+F32</f>
        <v>0</v>
      </c>
      <c r="G62" s="26">
        <f t="shared" ref="G62:I64" si="30">G17+G32</f>
        <v>0</v>
      </c>
      <c r="H62" s="26">
        <f t="shared" si="30"/>
        <v>0</v>
      </c>
      <c r="I62" s="26">
        <f t="shared" si="30"/>
        <v>0</v>
      </c>
      <c r="J62" s="26">
        <f t="shared" si="29"/>
        <v>0</v>
      </c>
      <c r="K62" s="20">
        <f>AVERAGE(D62:J62)</f>
        <v>0</v>
      </c>
    </row>
    <row r="63" spans="1:16" ht="15" customHeight="1" x14ac:dyDescent="0.2">
      <c r="A63" s="9">
        <v>27</v>
      </c>
      <c r="B63" s="118" t="s">
        <v>25</v>
      </c>
      <c r="C63" s="118"/>
      <c r="D63" s="26">
        <f>D18+D33</f>
        <v>0</v>
      </c>
      <c r="E63" s="26">
        <f t="shared" si="28"/>
        <v>0</v>
      </c>
      <c r="F63" s="26">
        <f>F18+F33</f>
        <v>0</v>
      </c>
      <c r="G63" s="26">
        <f t="shared" si="30"/>
        <v>0</v>
      </c>
      <c r="H63" s="26">
        <f t="shared" si="30"/>
        <v>0</v>
      </c>
      <c r="I63" s="26">
        <f t="shared" si="30"/>
        <v>0</v>
      </c>
      <c r="J63" s="26">
        <f t="shared" si="29"/>
        <v>0</v>
      </c>
      <c r="K63" s="20">
        <f t="shared" ref="K63:K64" si="31">AVERAGE(D63:J63)</f>
        <v>0</v>
      </c>
    </row>
    <row r="64" spans="1:16" ht="15" customHeight="1" x14ac:dyDescent="0.2">
      <c r="A64" s="9">
        <v>28</v>
      </c>
      <c r="B64" s="118" t="s">
        <v>26</v>
      </c>
      <c r="C64" s="118"/>
      <c r="D64" s="26">
        <f>D19+D34</f>
        <v>0</v>
      </c>
      <c r="E64" s="26">
        <f t="shared" si="28"/>
        <v>0</v>
      </c>
      <c r="F64" s="26">
        <f>F19+F34</f>
        <v>0</v>
      </c>
      <c r="G64" s="26">
        <f t="shared" si="30"/>
        <v>0</v>
      </c>
      <c r="H64" s="26">
        <f t="shared" si="30"/>
        <v>0</v>
      </c>
      <c r="I64" s="26">
        <f t="shared" si="30"/>
        <v>0</v>
      </c>
      <c r="J64" s="26">
        <f t="shared" si="29"/>
        <v>0</v>
      </c>
      <c r="K64" s="20">
        <f t="shared" si="31"/>
        <v>0</v>
      </c>
    </row>
    <row r="65" spans="1:11" s="6" customFormat="1" ht="15" customHeight="1" x14ac:dyDescent="0.2">
      <c r="A65" s="127" t="s">
        <v>27</v>
      </c>
      <c r="B65" s="127"/>
      <c r="C65" s="127"/>
      <c r="D65" s="11">
        <f t="shared" ref="D65:K66" si="32">D61+D63</f>
        <v>0</v>
      </c>
      <c r="E65" s="11">
        <f t="shared" si="32"/>
        <v>0</v>
      </c>
      <c r="F65" s="11">
        <f t="shared" si="32"/>
        <v>0</v>
      </c>
      <c r="G65" s="11">
        <f t="shared" si="32"/>
        <v>0</v>
      </c>
      <c r="H65" s="11">
        <f t="shared" si="32"/>
        <v>0</v>
      </c>
      <c r="I65" s="11">
        <f t="shared" si="32"/>
        <v>0</v>
      </c>
      <c r="J65" s="11">
        <f t="shared" si="32"/>
        <v>0</v>
      </c>
      <c r="K65" s="11">
        <f t="shared" si="32"/>
        <v>0</v>
      </c>
    </row>
    <row r="66" spans="1:11" s="6" customFormat="1" ht="15" customHeight="1" x14ac:dyDescent="0.2">
      <c r="A66" s="127" t="s">
        <v>28</v>
      </c>
      <c r="B66" s="127"/>
      <c r="C66" s="127"/>
      <c r="D66" s="11">
        <f t="shared" si="32"/>
        <v>0</v>
      </c>
      <c r="E66" s="11">
        <f t="shared" si="32"/>
        <v>0</v>
      </c>
      <c r="F66" s="11">
        <f t="shared" si="32"/>
        <v>0</v>
      </c>
      <c r="G66" s="11">
        <f t="shared" si="32"/>
        <v>0</v>
      </c>
      <c r="H66" s="11">
        <f t="shared" si="32"/>
        <v>0</v>
      </c>
      <c r="I66" s="11">
        <f t="shared" si="32"/>
        <v>0</v>
      </c>
      <c r="J66" s="11">
        <f t="shared" si="32"/>
        <v>0</v>
      </c>
      <c r="K66" s="11">
        <f>K62+K64</f>
        <v>0</v>
      </c>
    </row>
    <row r="67" spans="1:11" ht="15" customHeight="1" x14ac:dyDescent="0.2">
      <c r="A67" s="9">
        <v>29</v>
      </c>
      <c r="B67" s="118" t="s">
        <v>29</v>
      </c>
      <c r="C67" s="118"/>
      <c r="D67" s="26">
        <f>D22+D37+D52</f>
        <v>0</v>
      </c>
      <c r="E67" s="26">
        <f t="shared" ref="E67:J70" si="33">E22+E37+E52</f>
        <v>0</v>
      </c>
      <c r="F67" s="26">
        <f t="shared" si="33"/>
        <v>0</v>
      </c>
      <c r="G67" s="26">
        <f t="shared" si="33"/>
        <v>0</v>
      </c>
      <c r="H67" s="26">
        <f t="shared" si="33"/>
        <v>0</v>
      </c>
      <c r="I67" s="26">
        <f t="shared" si="33"/>
        <v>0</v>
      </c>
      <c r="J67" s="26">
        <f t="shared" si="33"/>
        <v>0</v>
      </c>
      <c r="K67" s="20">
        <f>SUM(D67:J67)</f>
        <v>0</v>
      </c>
    </row>
    <row r="68" spans="1:11" ht="15" customHeight="1" x14ac:dyDescent="0.2">
      <c r="A68" s="9">
        <v>30</v>
      </c>
      <c r="B68" s="118" t="s">
        <v>30</v>
      </c>
      <c r="C68" s="118"/>
      <c r="D68" s="26">
        <f>D23+D38+D53</f>
        <v>0</v>
      </c>
      <c r="E68" s="26">
        <f t="shared" si="33"/>
        <v>0</v>
      </c>
      <c r="F68" s="26">
        <f t="shared" si="33"/>
        <v>0</v>
      </c>
      <c r="G68" s="26">
        <f t="shared" si="33"/>
        <v>0</v>
      </c>
      <c r="H68" s="26">
        <f t="shared" si="33"/>
        <v>0</v>
      </c>
      <c r="I68" s="26">
        <f t="shared" si="33"/>
        <v>0</v>
      </c>
      <c r="J68" s="26">
        <f t="shared" si="33"/>
        <v>0</v>
      </c>
      <c r="K68" s="20">
        <f>SUM(D68:J68)</f>
        <v>0</v>
      </c>
    </row>
    <row r="69" spans="1:11" ht="15" customHeight="1" x14ac:dyDescent="0.2">
      <c r="A69" s="9">
        <v>31</v>
      </c>
      <c r="B69" s="118" t="s">
        <v>31</v>
      </c>
      <c r="C69" s="118"/>
      <c r="D69" s="26">
        <f>D24+D39+D54</f>
        <v>0</v>
      </c>
      <c r="E69" s="26">
        <f t="shared" si="33"/>
        <v>0</v>
      </c>
      <c r="F69" s="26">
        <f t="shared" si="33"/>
        <v>0</v>
      </c>
      <c r="G69" s="26">
        <f t="shared" si="33"/>
        <v>0</v>
      </c>
      <c r="H69" s="26">
        <f t="shared" si="33"/>
        <v>0</v>
      </c>
      <c r="I69" s="26">
        <f t="shared" si="33"/>
        <v>0</v>
      </c>
      <c r="J69" s="26">
        <f t="shared" si="33"/>
        <v>0</v>
      </c>
      <c r="K69" s="20">
        <f>SUM(D69:J69)</f>
        <v>0</v>
      </c>
    </row>
    <row r="70" spans="1:11" ht="15" customHeight="1" x14ac:dyDescent="0.2">
      <c r="A70" s="9">
        <v>32</v>
      </c>
      <c r="B70" s="118" t="s">
        <v>32</v>
      </c>
      <c r="C70" s="118"/>
      <c r="D70" s="26">
        <f>D25+D40+D55</f>
        <v>0</v>
      </c>
      <c r="E70" s="26">
        <f t="shared" si="33"/>
        <v>0</v>
      </c>
      <c r="F70" s="26">
        <f t="shared" si="33"/>
        <v>0</v>
      </c>
      <c r="G70" s="26">
        <f t="shared" si="33"/>
        <v>0</v>
      </c>
      <c r="H70" s="26">
        <f t="shared" si="33"/>
        <v>0</v>
      </c>
      <c r="I70" s="26">
        <f t="shared" si="33"/>
        <v>0</v>
      </c>
      <c r="J70" s="26">
        <f t="shared" si="33"/>
        <v>0</v>
      </c>
      <c r="K70" s="20">
        <f>SUM(D70:J70)</f>
        <v>0</v>
      </c>
    </row>
    <row r="71" spans="1:11" s="6" customFormat="1" ht="15" customHeight="1" x14ac:dyDescent="0.2">
      <c r="A71" s="127" t="s">
        <v>33</v>
      </c>
      <c r="B71" s="127"/>
      <c r="C71" s="127"/>
      <c r="D71" s="11">
        <f>D67+D69</f>
        <v>0</v>
      </c>
      <c r="E71" s="11">
        <f t="shared" ref="E71:H72" si="34">E67+E69</f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>I67+I69</f>
        <v>0</v>
      </c>
      <c r="J71" s="11">
        <f t="shared" ref="J71:K72" si="35">J67+J69</f>
        <v>0</v>
      </c>
      <c r="K71" s="11">
        <f t="shared" si="35"/>
        <v>0</v>
      </c>
    </row>
    <row r="72" spans="1:11" s="6" customFormat="1" ht="15" customHeight="1" x14ac:dyDescent="0.2">
      <c r="A72" s="127" t="s">
        <v>34</v>
      </c>
      <c r="B72" s="127"/>
      <c r="C72" s="127"/>
      <c r="D72" s="11">
        <f>D68+D70</f>
        <v>0</v>
      </c>
      <c r="E72" s="11">
        <f t="shared" si="34"/>
        <v>0</v>
      </c>
      <c r="F72" s="11">
        <f t="shared" si="34"/>
        <v>0</v>
      </c>
      <c r="G72" s="11">
        <f t="shared" si="34"/>
        <v>0</v>
      </c>
      <c r="H72" s="11">
        <f t="shared" si="34"/>
        <v>0</v>
      </c>
      <c r="I72" s="11">
        <f>I68+I70</f>
        <v>0</v>
      </c>
      <c r="J72" s="11">
        <f t="shared" si="35"/>
        <v>0</v>
      </c>
      <c r="K72" s="11">
        <f>K68+K70</f>
        <v>0</v>
      </c>
    </row>
    <row r="73" spans="1:11" ht="45.75" customHeight="1" x14ac:dyDescent="0.2">
      <c r="A73" s="94"/>
      <c r="B73" s="95"/>
      <c r="C73" s="95"/>
      <c r="D73" s="95"/>
      <c r="E73" s="95"/>
      <c r="F73" s="95"/>
      <c r="G73" s="95"/>
      <c r="H73" s="95"/>
      <c r="I73" s="95"/>
      <c r="J73" s="95"/>
      <c r="K73" s="96"/>
    </row>
    <row r="74" spans="1:11" ht="70.5" customHeight="1" x14ac:dyDescent="0.2">
      <c r="A74" s="97"/>
      <c r="B74" s="98"/>
      <c r="C74" s="98"/>
      <c r="D74" s="98"/>
      <c r="E74" s="98"/>
      <c r="F74" s="98"/>
      <c r="G74" s="98"/>
      <c r="H74" s="98"/>
      <c r="I74" s="98"/>
      <c r="J74" s="98"/>
      <c r="K74" s="99"/>
    </row>
    <row r="75" spans="1:11" ht="78" customHeight="1" x14ac:dyDescent="0.2">
      <c r="A75" s="97"/>
      <c r="B75" s="98"/>
      <c r="C75" s="98"/>
      <c r="D75" s="98"/>
      <c r="E75" s="98"/>
      <c r="F75" s="98"/>
      <c r="G75" s="98"/>
      <c r="H75" s="98"/>
      <c r="I75" s="98"/>
      <c r="J75" s="98"/>
      <c r="K75" s="99"/>
    </row>
    <row r="76" spans="1:11" ht="87.75" customHeight="1" x14ac:dyDescent="0.2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9"/>
    </row>
    <row r="77" spans="1:11" ht="70.5" customHeight="1" x14ac:dyDescent="0.2">
      <c r="A77" s="97"/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ht="45.75" customHeight="1" x14ac:dyDescent="0.2">
      <c r="A78" s="98"/>
      <c r="B78" s="245" t="s">
        <v>174</v>
      </c>
      <c r="C78" s="245"/>
      <c r="D78" s="98"/>
      <c r="E78" s="98"/>
      <c r="F78" s="98"/>
      <c r="G78" s="98"/>
      <c r="H78" s="98"/>
      <c r="I78" s="98"/>
      <c r="J78" s="98"/>
      <c r="K78" s="98"/>
    </row>
    <row r="79" spans="1:11" ht="44.25" customHeight="1" x14ac:dyDescent="0.2">
      <c r="A79" s="98"/>
      <c r="B79" s="74" t="s">
        <v>170</v>
      </c>
      <c r="C79" s="75">
        <f>K26+K27</f>
        <v>0</v>
      </c>
      <c r="D79" s="98"/>
      <c r="E79" s="98"/>
      <c r="F79" s="98"/>
      <c r="G79" s="98"/>
      <c r="H79" s="98"/>
      <c r="I79" s="98"/>
      <c r="J79" s="98"/>
      <c r="K79" s="98"/>
    </row>
    <row r="80" spans="1:11" ht="37.5" customHeight="1" x14ac:dyDescent="0.2">
      <c r="A80" s="98"/>
      <c r="B80" s="74" t="s">
        <v>172</v>
      </c>
      <c r="C80" s="75">
        <f>K41+K42</f>
        <v>0</v>
      </c>
      <c r="D80" s="98"/>
      <c r="E80" s="98"/>
      <c r="F80" s="98"/>
      <c r="G80" s="98"/>
      <c r="H80" s="98"/>
      <c r="I80" s="98"/>
      <c r="J80" s="98"/>
      <c r="K80" s="98"/>
    </row>
    <row r="81" spans="1:16" ht="39" customHeight="1" x14ac:dyDescent="0.2">
      <c r="A81" s="98"/>
      <c r="B81" s="74" t="s">
        <v>36</v>
      </c>
      <c r="C81" s="75">
        <f>K56+K57</f>
        <v>0</v>
      </c>
      <c r="D81" s="98"/>
      <c r="E81" s="98"/>
      <c r="F81" s="98"/>
      <c r="G81" s="98"/>
      <c r="H81" s="98"/>
      <c r="I81" s="98"/>
      <c r="J81" s="98"/>
      <c r="K81" s="98"/>
    </row>
    <row r="82" spans="1:16" ht="33" customHeight="1" x14ac:dyDescent="0.2">
      <c r="A82" s="98"/>
      <c r="B82" s="76" t="s">
        <v>173</v>
      </c>
      <c r="C82" s="73">
        <f>SUM(C79:C81)</f>
        <v>0</v>
      </c>
      <c r="D82" s="98"/>
      <c r="E82" s="98"/>
      <c r="F82" s="98"/>
      <c r="G82" s="98"/>
      <c r="H82" s="98"/>
      <c r="I82" s="98"/>
      <c r="J82" s="98"/>
      <c r="K82" s="98"/>
    </row>
    <row r="83" spans="1:16" ht="26.25" customHeight="1" x14ac:dyDescent="0.2">
      <c r="A83" s="246"/>
      <c r="B83" s="134"/>
      <c r="C83" s="134"/>
      <c r="D83" s="247"/>
      <c r="E83" s="247"/>
      <c r="F83" s="247"/>
      <c r="G83" s="247"/>
      <c r="H83" s="247"/>
      <c r="I83" s="247"/>
      <c r="J83" s="247"/>
      <c r="K83" s="248"/>
    </row>
    <row r="84" spans="1:16" s="10" customFormat="1" ht="15" customHeight="1" x14ac:dyDescent="0.2">
      <c r="A84" s="185" t="s">
        <v>38</v>
      </c>
      <c r="B84" s="185"/>
      <c r="C84" s="185"/>
      <c r="D84" s="202" t="s">
        <v>39</v>
      </c>
      <c r="E84" s="203"/>
      <c r="F84" s="203"/>
      <c r="G84" s="203"/>
      <c r="H84" s="203"/>
      <c r="I84" s="203"/>
      <c r="J84" s="203"/>
      <c r="K84" s="204"/>
    </row>
    <row r="85" spans="1:16" ht="15" customHeight="1" x14ac:dyDescent="0.2">
      <c r="A85" s="185"/>
      <c r="B85" s="185"/>
      <c r="C85" s="185"/>
      <c r="D85" s="12" t="s">
        <v>15</v>
      </c>
      <c r="E85" s="12" t="s">
        <v>16</v>
      </c>
      <c r="F85" s="12" t="s">
        <v>17</v>
      </c>
      <c r="G85" s="12" t="s">
        <v>18</v>
      </c>
      <c r="H85" s="12" t="s">
        <v>19</v>
      </c>
      <c r="I85" s="12" t="s">
        <v>20</v>
      </c>
      <c r="J85" s="12" t="s">
        <v>21</v>
      </c>
      <c r="K85" s="185" t="s">
        <v>22</v>
      </c>
    </row>
    <row r="86" spans="1:16" s="8" customFormat="1" ht="15" customHeight="1" x14ac:dyDescent="0.2">
      <c r="A86" s="185"/>
      <c r="B86" s="185"/>
      <c r="C86" s="185"/>
      <c r="D86" s="21">
        <f>D60</f>
        <v>46125</v>
      </c>
      <c r="E86" s="21">
        <f t="shared" ref="E86:J86" si="36">E60</f>
        <v>46126</v>
      </c>
      <c r="F86" s="21">
        <f t="shared" si="36"/>
        <v>46127</v>
      </c>
      <c r="G86" s="21">
        <f t="shared" si="36"/>
        <v>46128</v>
      </c>
      <c r="H86" s="21">
        <f t="shared" si="36"/>
        <v>46129</v>
      </c>
      <c r="I86" s="21">
        <f t="shared" si="36"/>
        <v>46130</v>
      </c>
      <c r="J86" s="21">
        <f t="shared" si="36"/>
        <v>46131</v>
      </c>
      <c r="K86" s="185"/>
      <c r="P86" s="56"/>
    </row>
    <row r="87" spans="1:16" ht="15" customHeight="1" x14ac:dyDescent="0.2">
      <c r="A87" s="9">
        <v>1</v>
      </c>
      <c r="B87" s="118"/>
      <c r="C87" s="118"/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0">
        <f>AVERAGE(D87:J87)</f>
        <v>0</v>
      </c>
    </row>
    <row r="88" spans="1:16" ht="15" customHeight="1" x14ac:dyDescent="0.2">
      <c r="A88" s="9">
        <v>2</v>
      </c>
      <c r="B88" s="118"/>
      <c r="C88" s="118"/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0">
        <f>AVERAGE(D88:J88)</f>
        <v>0</v>
      </c>
    </row>
    <row r="89" spans="1:16" ht="15" customHeight="1" x14ac:dyDescent="0.2">
      <c r="A89" s="9">
        <v>3</v>
      </c>
      <c r="B89" s="118"/>
      <c r="C89" s="118"/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0">
        <f t="shared" ref="K89:K94" si="37">AVERAGE(D89:J89)</f>
        <v>0</v>
      </c>
    </row>
    <row r="90" spans="1:16" ht="15" customHeight="1" x14ac:dyDescent="0.2">
      <c r="A90" s="9">
        <v>4</v>
      </c>
      <c r="B90" s="118"/>
      <c r="C90" s="118"/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0">
        <f t="shared" si="37"/>
        <v>0</v>
      </c>
    </row>
    <row r="91" spans="1:16" ht="15" customHeight="1" x14ac:dyDescent="0.2">
      <c r="A91" s="9">
        <v>5</v>
      </c>
      <c r="B91" s="118"/>
      <c r="C91" s="118"/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0">
        <f t="shared" si="37"/>
        <v>0</v>
      </c>
    </row>
    <row r="92" spans="1:16" ht="15" customHeight="1" x14ac:dyDescent="0.2">
      <c r="A92" s="9">
        <v>6</v>
      </c>
      <c r="B92" s="118"/>
      <c r="C92" s="118"/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0">
        <f t="shared" si="37"/>
        <v>0</v>
      </c>
    </row>
    <row r="93" spans="1:16" ht="15" customHeight="1" x14ac:dyDescent="0.2">
      <c r="A93" s="9">
        <v>7</v>
      </c>
      <c r="B93" s="118"/>
      <c r="C93" s="118"/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0">
        <f t="shared" si="37"/>
        <v>0</v>
      </c>
    </row>
    <row r="94" spans="1:16" ht="15" customHeight="1" x14ac:dyDescent="0.2">
      <c r="A94" s="9">
        <v>8</v>
      </c>
      <c r="B94" s="118"/>
      <c r="C94" s="118"/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0">
        <f t="shared" si="37"/>
        <v>0</v>
      </c>
    </row>
    <row r="95" spans="1:16" s="6" customFormat="1" ht="15" customHeight="1" x14ac:dyDescent="0.2">
      <c r="A95" s="127" t="s">
        <v>40</v>
      </c>
      <c r="B95" s="127"/>
      <c r="C95" s="127"/>
      <c r="D95" s="11">
        <f>SUM(D87:D94)</f>
        <v>0</v>
      </c>
      <c r="E95" s="11">
        <f t="shared" ref="E95:K95" si="38">SUM(E87:E94)</f>
        <v>0</v>
      </c>
      <c r="F95" s="11">
        <f t="shared" si="38"/>
        <v>0</v>
      </c>
      <c r="G95" s="11">
        <f t="shared" si="38"/>
        <v>0</v>
      </c>
      <c r="H95" s="11">
        <f t="shared" si="38"/>
        <v>0</v>
      </c>
      <c r="I95" s="11">
        <f t="shared" si="38"/>
        <v>0</v>
      </c>
      <c r="J95" s="11">
        <f t="shared" si="38"/>
        <v>0</v>
      </c>
      <c r="K95" s="11">
        <f t="shared" si="38"/>
        <v>0</v>
      </c>
    </row>
    <row r="96" spans="1:16" ht="12.95" customHeight="1" x14ac:dyDescent="0.2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</row>
    <row r="97" spans="1:14" s="72" customFormat="1" ht="27" customHeight="1" x14ac:dyDescent="0.2">
      <c r="A97" s="221" t="s">
        <v>175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3"/>
    </row>
    <row r="98" spans="1:14" s="72" customFormat="1" ht="6" customHeight="1" x14ac:dyDescent="0.2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 spans="1:14" s="77" customFormat="1" ht="22.5" customHeight="1" x14ac:dyDescent="0.2">
      <c r="A99" s="227" t="s">
        <v>176</v>
      </c>
      <c r="B99" s="228"/>
      <c r="C99" s="228"/>
      <c r="D99" s="228"/>
      <c r="E99" s="228"/>
      <c r="F99" s="228"/>
      <c r="G99" s="228"/>
      <c r="H99" s="228"/>
      <c r="I99" s="228"/>
      <c r="J99" s="228"/>
      <c r="K99" s="229"/>
    </row>
    <row r="100" spans="1:14" s="72" customFormat="1" ht="33" customHeight="1" x14ac:dyDescent="0.2">
      <c r="A100" s="249" t="s">
        <v>42</v>
      </c>
      <c r="B100" s="250"/>
      <c r="C100" s="103" t="s">
        <v>177</v>
      </c>
      <c r="D100" s="252" t="s">
        <v>81</v>
      </c>
      <c r="E100" s="253"/>
      <c r="F100" s="254"/>
      <c r="G100" s="102" t="s">
        <v>195</v>
      </c>
      <c r="H100" s="102" t="s">
        <v>196</v>
      </c>
      <c r="I100" s="101" t="s">
        <v>82</v>
      </c>
      <c r="J100" s="101" t="s">
        <v>83</v>
      </c>
      <c r="K100" s="101" t="s">
        <v>84</v>
      </c>
    </row>
    <row r="101" spans="1:14" s="72" customFormat="1" ht="28.5" customHeight="1" x14ac:dyDescent="0.2">
      <c r="A101" s="244"/>
      <c r="B101" s="244"/>
      <c r="C101" s="281"/>
      <c r="D101" s="278"/>
      <c r="E101" s="279"/>
      <c r="F101" s="280"/>
      <c r="G101" s="282"/>
      <c r="H101" s="276"/>
      <c r="I101" s="276"/>
      <c r="J101" s="78">
        <f>G101*I101</f>
        <v>0</v>
      </c>
      <c r="K101" s="78">
        <f>H101*I101</f>
        <v>0</v>
      </c>
      <c r="N101" s="105" t="s">
        <v>178</v>
      </c>
    </row>
    <row r="102" spans="1:14" s="72" customFormat="1" ht="32.25" customHeight="1" x14ac:dyDescent="0.2">
      <c r="A102" s="244"/>
      <c r="B102" s="244"/>
      <c r="C102" s="281"/>
      <c r="D102" s="278"/>
      <c r="E102" s="279"/>
      <c r="F102" s="280"/>
      <c r="G102" s="282"/>
      <c r="H102" s="276"/>
      <c r="I102" s="276"/>
      <c r="J102" s="78">
        <f>G102*I102</f>
        <v>0</v>
      </c>
      <c r="K102" s="78">
        <f>H102*I102</f>
        <v>0</v>
      </c>
      <c r="N102" s="105" t="s">
        <v>179</v>
      </c>
    </row>
    <row r="103" spans="1:14" s="72" customFormat="1" ht="30.75" customHeight="1" x14ac:dyDescent="0.2">
      <c r="A103" s="244"/>
      <c r="B103" s="244"/>
      <c r="C103" s="281"/>
      <c r="D103" s="278"/>
      <c r="E103" s="279"/>
      <c r="F103" s="280"/>
      <c r="G103" s="282"/>
      <c r="H103" s="276"/>
      <c r="I103" s="276"/>
      <c r="J103" s="78">
        <f t="shared" ref="J103:J119" si="39">G103*I103</f>
        <v>0</v>
      </c>
      <c r="K103" s="78">
        <f t="shared" ref="K103:K119" si="40">H103*I103</f>
        <v>0</v>
      </c>
      <c r="N103" s="105" t="s">
        <v>197</v>
      </c>
    </row>
    <row r="104" spans="1:14" s="72" customFormat="1" ht="30" customHeight="1" x14ac:dyDescent="0.2">
      <c r="A104" s="244"/>
      <c r="B104" s="244"/>
      <c r="C104" s="281"/>
      <c r="D104" s="278"/>
      <c r="E104" s="279"/>
      <c r="F104" s="280"/>
      <c r="G104" s="282"/>
      <c r="H104" s="276"/>
      <c r="I104" s="276"/>
      <c r="J104" s="78">
        <f t="shared" si="39"/>
        <v>0</v>
      </c>
      <c r="K104" s="78">
        <f t="shared" si="40"/>
        <v>0</v>
      </c>
      <c r="N104" s="105" t="s">
        <v>180</v>
      </c>
    </row>
    <row r="105" spans="1:14" s="72" customFormat="1" ht="30" customHeight="1" x14ac:dyDescent="0.2">
      <c r="A105" s="244"/>
      <c r="B105" s="244"/>
      <c r="C105" s="281"/>
      <c r="D105" s="278"/>
      <c r="E105" s="279"/>
      <c r="F105" s="280"/>
      <c r="G105" s="282"/>
      <c r="H105" s="276"/>
      <c r="I105" s="276"/>
      <c r="J105" s="78">
        <f t="shared" si="39"/>
        <v>0</v>
      </c>
      <c r="K105" s="78">
        <f t="shared" si="40"/>
        <v>0</v>
      </c>
      <c r="N105" s="105"/>
    </row>
    <row r="106" spans="1:14" s="72" customFormat="1" ht="30" customHeight="1" x14ac:dyDescent="0.2">
      <c r="A106" s="244"/>
      <c r="B106" s="244"/>
      <c r="C106" s="281"/>
      <c r="D106" s="278"/>
      <c r="E106" s="279"/>
      <c r="F106" s="280"/>
      <c r="G106" s="282"/>
      <c r="H106" s="276"/>
      <c r="I106" s="276"/>
      <c r="J106" s="78">
        <f t="shared" si="39"/>
        <v>0</v>
      </c>
      <c r="K106" s="78">
        <f t="shared" si="40"/>
        <v>0</v>
      </c>
      <c r="N106" s="105"/>
    </row>
    <row r="107" spans="1:14" s="72" customFormat="1" ht="30" customHeight="1" x14ac:dyDescent="0.2">
      <c r="A107" s="244"/>
      <c r="B107" s="244"/>
      <c r="C107" s="281"/>
      <c r="D107" s="278"/>
      <c r="E107" s="279"/>
      <c r="F107" s="280"/>
      <c r="G107" s="282"/>
      <c r="H107" s="276"/>
      <c r="I107" s="276"/>
      <c r="J107" s="78">
        <f t="shared" si="39"/>
        <v>0</v>
      </c>
      <c r="K107" s="78">
        <f t="shared" si="40"/>
        <v>0</v>
      </c>
      <c r="N107" s="105"/>
    </row>
    <row r="108" spans="1:14" s="72" customFormat="1" ht="30" customHeight="1" x14ac:dyDescent="0.2">
      <c r="A108" s="244"/>
      <c r="B108" s="244"/>
      <c r="C108" s="281"/>
      <c r="D108" s="278"/>
      <c r="E108" s="279"/>
      <c r="F108" s="280"/>
      <c r="G108" s="282"/>
      <c r="H108" s="276"/>
      <c r="I108" s="276"/>
      <c r="J108" s="78">
        <f t="shared" si="39"/>
        <v>0</v>
      </c>
      <c r="K108" s="78">
        <f t="shared" si="40"/>
        <v>0</v>
      </c>
      <c r="N108" s="105"/>
    </row>
    <row r="109" spans="1:14" s="72" customFormat="1" ht="30" customHeight="1" x14ac:dyDescent="0.2">
      <c r="A109" s="244"/>
      <c r="B109" s="244"/>
      <c r="C109" s="281"/>
      <c r="D109" s="278"/>
      <c r="E109" s="279"/>
      <c r="F109" s="280"/>
      <c r="G109" s="282"/>
      <c r="H109" s="276"/>
      <c r="I109" s="276"/>
      <c r="J109" s="78">
        <f t="shared" si="39"/>
        <v>0</v>
      </c>
      <c r="K109" s="78">
        <f t="shared" si="40"/>
        <v>0</v>
      </c>
      <c r="N109" s="105"/>
    </row>
    <row r="110" spans="1:14" s="72" customFormat="1" ht="31.5" customHeight="1" x14ac:dyDescent="0.2">
      <c r="A110" s="244"/>
      <c r="B110" s="244"/>
      <c r="C110" s="281"/>
      <c r="D110" s="278"/>
      <c r="E110" s="279"/>
      <c r="F110" s="280"/>
      <c r="G110" s="282"/>
      <c r="H110" s="276"/>
      <c r="I110" s="276"/>
      <c r="J110" s="78">
        <f t="shared" si="39"/>
        <v>0</v>
      </c>
      <c r="K110" s="78">
        <f t="shared" si="40"/>
        <v>0</v>
      </c>
      <c r="N110" s="106"/>
    </row>
    <row r="111" spans="1:14" s="72" customFormat="1" ht="29.25" customHeight="1" x14ac:dyDescent="0.2">
      <c r="A111" s="244"/>
      <c r="B111" s="244"/>
      <c r="C111" s="281"/>
      <c r="D111" s="278"/>
      <c r="E111" s="279"/>
      <c r="F111" s="280"/>
      <c r="G111" s="283"/>
      <c r="H111" s="276"/>
      <c r="I111" s="276"/>
      <c r="J111" s="78">
        <f t="shared" si="39"/>
        <v>0</v>
      </c>
      <c r="K111" s="78">
        <f t="shared" si="40"/>
        <v>0</v>
      </c>
    </row>
    <row r="112" spans="1:14" s="72" customFormat="1" ht="30" customHeight="1" x14ac:dyDescent="0.2">
      <c r="A112" s="244"/>
      <c r="B112" s="244"/>
      <c r="C112" s="281"/>
      <c r="D112" s="278"/>
      <c r="E112" s="279"/>
      <c r="F112" s="280"/>
      <c r="G112" s="282"/>
      <c r="H112" s="276"/>
      <c r="I112" s="276"/>
      <c r="J112" s="78">
        <f t="shared" si="39"/>
        <v>0</v>
      </c>
      <c r="K112" s="78">
        <f t="shared" si="40"/>
        <v>0</v>
      </c>
    </row>
    <row r="113" spans="1:16" s="72" customFormat="1" ht="22.5" customHeight="1" x14ac:dyDescent="0.2">
      <c r="A113" s="244"/>
      <c r="B113" s="244"/>
      <c r="C113" s="281"/>
      <c r="D113" s="278"/>
      <c r="E113" s="279"/>
      <c r="F113" s="280"/>
      <c r="G113" s="283"/>
      <c r="H113" s="277"/>
      <c r="I113" s="277"/>
      <c r="J113" s="78">
        <f t="shared" si="39"/>
        <v>0</v>
      </c>
      <c r="K113" s="78">
        <f t="shared" si="40"/>
        <v>0</v>
      </c>
    </row>
    <row r="114" spans="1:16" s="72" customFormat="1" ht="22.5" customHeight="1" x14ac:dyDescent="0.2">
      <c r="A114" s="244"/>
      <c r="B114" s="244"/>
      <c r="C114" s="281"/>
      <c r="D114" s="278"/>
      <c r="E114" s="279"/>
      <c r="F114" s="280"/>
      <c r="G114" s="282"/>
      <c r="H114" s="277"/>
      <c r="I114" s="277"/>
      <c r="J114" s="78">
        <f t="shared" si="39"/>
        <v>0</v>
      </c>
      <c r="K114" s="78">
        <f t="shared" si="40"/>
        <v>0</v>
      </c>
    </row>
    <row r="115" spans="1:16" s="72" customFormat="1" ht="28.5" customHeight="1" x14ac:dyDescent="0.2">
      <c r="A115" s="244"/>
      <c r="B115" s="244"/>
      <c r="C115" s="281"/>
      <c r="D115" s="278"/>
      <c r="E115" s="279"/>
      <c r="F115" s="280"/>
      <c r="G115" s="282"/>
      <c r="H115" s="277"/>
      <c r="I115" s="277"/>
      <c r="J115" s="78">
        <f t="shared" si="39"/>
        <v>0</v>
      </c>
      <c r="K115" s="78">
        <f t="shared" si="40"/>
        <v>0</v>
      </c>
    </row>
    <row r="116" spans="1:16" s="72" customFormat="1" ht="33" customHeight="1" x14ac:dyDescent="0.2">
      <c r="A116" s="244"/>
      <c r="B116" s="244"/>
      <c r="C116" s="281"/>
      <c r="D116" s="278"/>
      <c r="E116" s="279"/>
      <c r="F116" s="280"/>
      <c r="G116" s="282"/>
      <c r="H116" s="277"/>
      <c r="I116" s="277"/>
      <c r="J116" s="78">
        <f t="shared" si="39"/>
        <v>0</v>
      </c>
      <c r="K116" s="78">
        <f t="shared" si="40"/>
        <v>0</v>
      </c>
    </row>
    <row r="117" spans="1:16" s="72" customFormat="1" ht="27" customHeight="1" x14ac:dyDescent="0.2">
      <c r="A117" s="244"/>
      <c r="B117" s="244"/>
      <c r="C117" s="281"/>
      <c r="D117" s="278"/>
      <c r="E117" s="279"/>
      <c r="F117" s="280"/>
      <c r="G117" s="283"/>
      <c r="H117" s="276"/>
      <c r="I117" s="276"/>
      <c r="J117" s="78">
        <f t="shared" si="39"/>
        <v>0</v>
      </c>
      <c r="K117" s="78">
        <f t="shared" si="40"/>
        <v>0</v>
      </c>
    </row>
    <row r="118" spans="1:16" s="72" customFormat="1" ht="27" customHeight="1" x14ac:dyDescent="0.2">
      <c r="A118" s="244"/>
      <c r="B118" s="244"/>
      <c r="C118" s="281"/>
      <c r="D118" s="278"/>
      <c r="E118" s="279"/>
      <c r="F118" s="280"/>
      <c r="G118" s="283"/>
      <c r="H118" s="276"/>
      <c r="I118" s="276"/>
      <c r="J118" s="78">
        <f t="shared" si="39"/>
        <v>0</v>
      </c>
      <c r="K118" s="78">
        <f t="shared" si="40"/>
        <v>0</v>
      </c>
    </row>
    <row r="119" spans="1:16" s="72" customFormat="1" ht="21" customHeight="1" x14ac:dyDescent="0.2">
      <c r="A119" s="256" t="s">
        <v>194</v>
      </c>
      <c r="B119" s="257"/>
      <c r="C119" s="257"/>
      <c r="D119" s="257"/>
      <c r="E119" s="257"/>
      <c r="F119" s="257"/>
      <c r="G119" s="257"/>
      <c r="H119" s="257"/>
      <c r="I119" s="258"/>
      <c r="J119" s="79">
        <f>+SUM(J101:J118)</f>
        <v>0</v>
      </c>
      <c r="K119" s="79">
        <f>+SUM(K101:K118)</f>
        <v>0</v>
      </c>
    </row>
    <row r="120" spans="1:16" s="72" customFormat="1" ht="21" customHeight="1" x14ac:dyDescent="0.2">
      <c r="A120" s="256" t="s">
        <v>182</v>
      </c>
      <c r="B120" s="257"/>
      <c r="C120" s="257"/>
      <c r="D120" s="257"/>
      <c r="E120" s="257"/>
      <c r="F120" s="257"/>
      <c r="G120" s="257"/>
      <c r="H120" s="257"/>
      <c r="I120" s="258"/>
      <c r="J120" s="259">
        <f>J119+K119</f>
        <v>0</v>
      </c>
      <c r="K120" s="260"/>
    </row>
    <row r="121" spans="1:16" s="72" customFormat="1" ht="15.75" customHeight="1" x14ac:dyDescent="0.2">
      <c r="A121" s="80"/>
      <c r="B121" s="81"/>
      <c r="C121" s="81"/>
      <c r="D121" s="82"/>
      <c r="E121" s="82"/>
      <c r="F121" s="82"/>
      <c r="G121" s="82"/>
      <c r="H121" s="82"/>
      <c r="I121" s="82"/>
      <c r="J121" s="82"/>
      <c r="K121" s="83"/>
    </row>
    <row r="122" spans="1:16" s="72" customFormat="1" ht="45.75" customHeight="1" x14ac:dyDescent="0.2">
      <c r="A122" s="80"/>
      <c r="B122" s="81"/>
      <c r="C122" s="81"/>
      <c r="D122" s="84" t="s">
        <v>183</v>
      </c>
      <c r="E122" s="84" t="s">
        <v>184</v>
      </c>
      <c r="F122" s="84" t="s">
        <v>185</v>
      </c>
      <c r="G122" s="84" t="s">
        <v>186</v>
      </c>
      <c r="H122" s="82"/>
      <c r="I122" s="82"/>
      <c r="J122" s="82"/>
      <c r="K122" s="83"/>
    </row>
    <row r="123" spans="1:16" s="72" customFormat="1" ht="33" customHeight="1" x14ac:dyDescent="0.2">
      <c r="A123" s="80"/>
      <c r="B123" s="81"/>
      <c r="C123" s="81"/>
      <c r="D123" s="85">
        <f>+COUNTIF(C101:C118,"Charla diaria")</f>
        <v>0</v>
      </c>
      <c r="E123" s="85">
        <f>+COUNTIF(C101:C118,"Charla semanal")</f>
        <v>0</v>
      </c>
      <c r="F123" s="104">
        <f>+COUNTIF(C101:C118,"Capacitación específica")</f>
        <v>0</v>
      </c>
      <c r="G123" s="85">
        <f>+COUNTIF(C101:C118,"Inducción")</f>
        <v>0</v>
      </c>
      <c r="H123" s="82"/>
      <c r="I123" s="82"/>
      <c r="J123" s="82"/>
      <c r="K123" s="83"/>
    </row>
    <row r="124" spans="1:16" s="72" customFormat="1" ht="24.75" customHeight="1" x14ac:dyDescent="0.2">
      <c r="A124" s="80"/>
      <c r="B124" s="81"/>
      <c r="C124" s="81"/>
      <c r="D124" s="100"/>
      <c r="E124" s="100"/>
      <c r="F124" s="100"/>
      <c r="G124" s="100"/>
      <c r="H124" s="82"/>
      <c r="I124" s="82"/>
      <c r="J124" s="82"/>
      <c r="K124" s="83"/>
    </row>
    <row r="125" spans="1:16" ht="27" customHeight="1" x14ac:dyDescent="0.2">
      <c r="A125" s="221" t="s">
        <v>187</v>
      </c>
      <c r="B125" s="222"/>
      <c r="C125" s="222"/>
      <c r="D125" s="222"/>
      <c r="E125" s="222"/>
      <c r="F125" s="222"/>
      <c r="G125" s="222"/>
      <c r="H125" s="222"/>
      <c r="I125" s="222"/>
      <c r="J125" s="222"/>
      <c r="K125" s="223"/>
    </row>
    <row r="126" spans="1:16" ht="6.75" customHeight="1" x14ac:dyDescent="0.2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</row>
    <row r="127" spans="1:16" ht="27.6" customHeight="1" x14ac:dyDescent="0.2">
      <c r="A127" s="198" t="s">
        <v>198</v>
      </c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8"/>
      <c r="O127" s="44"/>
      <c r="P127" s="59"/>
    </row>
    <row r="128" spans="1:16" x14ac:dyDescent="0.2">
      <c r="A128" s="157" t="s">
        <v>41</v>
      </c>
      <c r="B128" s="157"/>
      <c r="C128" s="51" t="s">
        <v>42</v>
      </c>
      <c r="D128" s="52" t="s">
        <v>43</v>
      </c>
      <c r="E128" s="158" t="s">
        <v>44</v>
      </c>
      <c r="F128" s="158"/>
      <c r="G128" s="158"/>
      <c r="H128" s="158" t="s">
        <v>45</v>
      </c>
      <c r="I128" s="158"/>
      <c r="J128" s="158"/>
      <c r="K128" s="158"/>
      <c r="L128" s="49"/>
      <c r="M128" s="49"/>
      <c r="N128" s="50"/>
      <c r="O128" s="46"/>
      <c r="P128" s="61"/>
    </row>
    <row r="129" spans="1:16" ht="24.95" customHeight="1" x14ac:dyDescent="0.2">
      <c r="A129" s="171"/>
      <c r="B129" s="171"/>
      <c r="C129" s="54"/>
      <c r="D129" s="55"/>
      <c r="E129" s="145"/>
      <c r="F129" s="145"/>
      <c r="G129" s="145"/>
      <c r="H129" s="160"/>
      <c r="I129" s="160"/>
      <c r="J129" s="160"/>
      <c r="K129" s="160"/>
      <c r="L129" s="49"/>
      <c r="M129" s="49"/>
      <c r="N129" s="50"/>
      <c r="O129" s="46"/>
      <c r="P129" s="61"/>
    </row>
    <row r="130" spans="1:16" ht="24.95" customHeight="1" x14ac:dyDescent="0.2">
      <c r="A130" s="171"/>
      <c r="B130" s="171"/>
      <c r="C130" s="54"/>
      <c r="D130" s="55"/>
      <c r="E130" s="145"/>
      <c r="F130" s="145"/>
      <c r="G130" s="145"/>
      <c r="H130" s="160"/>
      <c r="I130" s="160"/>
      <c r="J130" s="160"/>
      <c r="K130" s="160"/>
      <c r="L130" s="49"/>
      <c r="M130" s="49"/>
      <c r="N130" s="50"/>
      <c r="O130" s="46"/>
      <c r="P130" s="61"/>
    </row>
    <row r="131" spans="1:16" ht="24.95" customHeight="1" x14ac:dyDescent="0.2">
      <c r="A131" s="171"/>
      <c r="B131" s="171"/>
      <c r="C131" s="54"/>
      <c r="D131" s="55"/>
      <c r="E131" s="145"/>
      <c r="F131" s="145"/>
      <c r="G131" s="145"/>
      <c r="H131" s="160"/>
      <c r="I131" s="160"/>
      <c r="J131" s="160"/>
      <c r="K131" s="160"/>
    </row>
    <row r="132" spans="1:16" ht="24.95" customHeight="1" x14ac:dyDescent="0.2">
      <c r="A132" s="198" t="s">
        <v>188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6" ht="24.95" customHeight="1" x14ac:dyDescent="0.2">
      <c r="A133" s="263" t="s">
        <v>171</v>
      </c>
      <c r="B133" s="264"/>
      <c r="C133" s="265"/>
      <c r="D133" s="108">
        <f>D60</f>
        <v>46125</v>
      </c>
      <c r="E133" s="108">
        <f t="shared" ref="E133:J133" si="41">E60</f>
        <v>46126</v>
      </c>
      <c r="F133" s="108">
        <f t="shared" si="41"/>
        <v>46127</v>
      </c>
      <c r="G133" s="108">
        <f t="shared" si="41"/>
        <v>46128</v>
      </c>
      <c r="H133" s="108">
        <f t="shared" si="41"/>
        <v>46129</v>
      </c>
      <c r="I133" s="108">
        <f t="shared" si="41"/>
        <v>46130</v>
      </c>
      <c r="J133" s="108">
        <f t="shared" si="41"/>
        <v>46131</v>
      </c>
      <c r="K133" s="107" t="s">
        <v>173</v>
      </c>
    </row>
    <row r="134" spans="1:16" ht="24.95" customHeight="1" x14ac:dyDescent="0.2">
      <c r="A134" s="9">
        <v>1</v>
      </c>
      <c r="B134" s="118" t="s">
        <v>47</v>
      </c>
      <c r="C134" s="118"/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7">
        <f>SUM(F134:J134)</f>
        <v>0</v>
      </c>
    </row>
    <row r="135" spans="1:16" ht="24.95" customHeight="1" x14ac:dyDescent="0.2">
      <c r="A135" s="9">
        <v>2</v>
      </c>
      <c r="B135" s="118" t="s">
        <v>48</v>
      </c>
      <c r="C135" s="118"/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27">
        <f t="shared" ref="K135:K136" si="42">SUM(F135:J135)</f>
        <v>0</v>
      </c>
    </row>
    <row r="136" spans="1:16" ht="24.95" customHeight="1" x14ac:dyDescent="0.2">
      <c r="A136" s="9">
        <v>3</v>
      </c>
      <c r="B136" s="118" t="s">
        <v>49</v>
      </c>
      <c r="C136" s="118"/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27">
        <f t="shared" si="42"/>
        <v>0</v>
      </c>
    </row>
    <row r="137" spans="1:16" s="14" customFormat="1" ht="24.95" customHeight="1" x14ac:dyDescent="0.2">
      <c r="A137" s="127" t="s">
        <v>50</v>
      </c>
      <c r="B137" s="127"/>
      <c r="C137" s="127"/>
      <c r="D137" s="11">
        <f t="shared" ref="D137:H137" si="43">SUM(D134:D136)</f>
        <v>0</v>
      </c>
      <c r="E137" s="11">
        <f t="shared" si="43"/>
        <v>0</v>
      </c>
      <c r="F137" s="11">
        <f t="shared" si="43"/>
        <v>0</v>
      </c>
      <c r="G137" s="11">
        <f t="shared" si="43"/>
        <v>0</v>
      </c>
      <c r="H137" s="11">
        <f t="shared" si="43"/>
        <v>0</v>
      </c>
      <c r="I137" s="11">
        <f>SUM(I134:I136)</f>
        <v>0</v>
      </c>
      <c r="J137" s="11">
        <f t="shared" ref="J137" si="44">SUM(J134:J136)</f>
        <v>0</v>
      </c>
      <c r="K137" s="11">
        <f>SUM(K134:K136)</f>
        <v>0</v>
      </c>
      <c r="P137" s="57"/>
    </row>
    <row r="138" spans="1:16" ht="24.95" customHeight="1" x14ac:dyDescent="0.2">
      <c r="A138" s="198" t="s">
        <v>51</v>
      </c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6" ht="24.95" customHeight="1" x14ac:dyDescent="0.2">
      <c r="A139" s="263" t="s">
        <v>171</v>
      </c>
      <c r="B139" s="264"/>
      <c r="C139" s="265"/>
      <c r="D139" s="108">
        <f>D133</f>
        <v>46125</v>
      </c>
      <c r="E139" s="108">
        <f t="shared" ref="E139:J139" si="45">E133</f>
        <v>46126</v>
      </c>
      <c r="F139" s="108">
        <f t="shared" si="45"/>
        <v>46127</v>
      </c>
      <c r="G139" s="108">
        <f t="shared" si="45"/>
        <v>46128</v>
      </c>
      <c r="H139" s="108">
        <f t="shared" si="45"/>
        <v>46129</v>
      </c>
      <c r="I139" s="108">
        <f t="shared" si="45"/>
        <v>46130</v>
      </c>
      <c r="J139" s="108">
        <f t="shared" si="45"/>
        <v>46131</v>
      </c>
      <c r="K139" s="107" t="s">
        <v>173</v>
      </c>
    </row>
    <row r="140" spans="1:16" ht="24.95" customHeight="1" x14ac:dyDescent="0.2">
      <c r="A140" s="9">
        <v>4</v>
      </c>
      <c r="B140" s="226" t="s">
        <v>52</v>
      </c>
      <c r="C140" s="226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28">
        <f>SUM(F140:J140)</f>
        <v>0</v>
      </c>
    </row>
    <row r="141" spans="1:16" ht="24.95" customHeight="1" x14ac:dyDescent="0.2">
      <c r="A141" s="127" t="s">
        <v>53</v>
      </c>
      <c r="B141" s="127"/>
      <c r="C141" s="127"/>
      <c r="D141" s="11">
        <f t="shared" ref="D141:H141" si="46">SUM(D140:D140)</f>
        <v>0</v>
      </c>
      <c r="E141" s="11">
        <f t="shared" si="46"/>
        <v>0</v>
      </c>
      <c r="F141" s="11">
        <f t="shared" si="46"/>
        <v>0</v>
      </c>
      <c r="G141" s="11">
        <f t="shared" si="46"/>
        <v>0</v>
      </c>
      <c r="H141" s="11">
        <f t="shared" si="46"/>
        <v>0</v>
      </c>
      <c r="I141" s="11">
        <f>SUM(I140:I140)</f>
        <v>0</v>
      </c>
      <c r="J141" s="11">
        <f>SUM(J140:J140)</f>
        <v>0</v>
      </c>
      <c r="K141" s="11">
        <f>SUM(K140:K140)</f>
        <v>0</v>
      </c>
    </row>
    <row r="142" spans="1:16" ht="24.95" customHeight="1" x14ac:dyDescent="0.2">
      <c r="A142" s="198" t="s">
        <v>189</v>
      </c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6" ht="24.95" customHeight="1" x14ac:dyDescent="0.2">
      <c r="A143" s="263" t="s">
        <v>171</v>
      </c>
      <c r="B143" s="264"/>
      <c r="C143" s="265"/>
      <c r="D143" s="108">
        <f>D139</f>
        <v>46125</v>
      </c>
      <c r="E143" s="108">
        <f t="shared" ref="E143:J143" si="47">E139</f>
        <v>46126</v>
      </c>
      <c r="F143" s="108">
        <f t="shared" si="47"/>
        <v>46127</v>
      </c>
      <c r="G143" s="108">
        <f t="shared" si="47"/>
        <v>46128</v>
      </c>
      <c r="H143" s="108">
        <f t="shared" si="47"/>
        <v>46129</v>
      </c>
      <c r="I143" s="108">
        <f t="shared" si="47"/>
        <v>46130</v>
      </c>
      <c r="J143" s="108">
        <f t="shared" si="47"/>
        <v>46131</v>
      </c>
      <c r="K143" s="107" t="s">
        <v>173</v>
      </c>
    </row>
    <row r="144" spans="1:16" ht="24.95" customHeight="1" x14ac:dyDescent="0.2">
      <c r="A144" s="9">
        <v>5</v>
      </c>
      <c r="B144" s="118" t="s">
        <v>55</v>
      </c>
      <c r="C144" s="118"/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27">
        <f>SUM(F144:J144)</f>
        <v>0</v>
      </c>
    </row>
    <row r="145" spans="1:16" s="2" customFormat="1" ht="24.95" customHeight="1" x14ac:dyDescent="0.2">
      <c r="A145" s="9">
        <v>6</v>
      </c>
      <c r="B145" s="200" t="s">
        <v>56</v>
      </c>
      <c r="C145" s="201"/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27">
        <f>SUM(F145:J145)</f>
        <v>0</v>
      </c>
      <c r="P145" s="3"/>
    </row>
    <row r="146" spans="1:16" ht="24.95" customHeight="1" x14ac:dyDescent="0.2">
      <c r="A146" s="127" t="s">
        <v>57</v>
      </c>
      <c r="B146" s="127"/>
      <c r="C146" s="127"/>
      <c r="D146" s="12">
        <f t="shared" ref="D146:J146" si="48">SUM(D144:D145)</f>
        <v>0</v>
      </c>
      <c r="E146" s="12">
        <f t="shared" si="48"/>
        <v>0</v>
      </c>
      <c r="F146" s="12">
        <f t="shared" si="48"/>
        <v>0</v>
      </c>
      <c r="G146" s="12">
        <f t="shared" si="48"/>
        <v>0</v>
      </c>
      <c r="H146" s="12">
        <f t="shared" si="48"/>
        <v>0</v>
      </c>
      <c r="I146" s="12">
        <f t="shared" si="48"/>
        <v>0</v>
      </c>
      <c r="J146" s="12">
        <f t="shared" si="48"/>
        <v>0</v>
      </c>
      <c r="K146" s="109">
        <f>SUM(K144:K145)</f>
        <v>0</v>
      </c>
    </row>
    <row r="147" spans="1:16" ht="99.75" customHeight="1" x14ac:dyDescent="0.2">
      <c r="A147" s="26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8"/>
    </row>
    <row r="148" spans="1:16" ht="116.25" customHeight="1" x14ac:dyDescent="0.2">
      <c r="A148" s="269"/>
      <c r="B148" s="270"/>
      <c r="C148" s="270"/>
      <c r="D148" s="270"/>
      <c r="E148" s="270"/>
      <c r="F148" s="270"/>
      <c r="G148" s="270"/>
      <c r="H148" s="270"/>
      <c r="I148" s="270"/>
      <c r="J148" s="270"/>
      <c r="K148" s="271"/>
    </row>
    <row r="149" spans="1:16" ht="111" customHeight="1" x14ac:dyDescent="0.2">
      <c r="A149" s="269"/>
      <c r="B149" s="270"/>
      <c r="C149" s="270"/>
      <c r="D149" s="270"/>
      <c r="E149" s="270"/>
      <c r="F149" s="270"/>
      <c r="G149" s="270"/>
      <c r="H149" s="270"/>
      <c r="I149" s="270"/>
      <c r="J149" s="270"/>
      <c r="K149" s="271"/>
    </row>
    <row r="150" spans="1:16" ht="152.25" customHeight="1" x14ac:dyDescent="0.2">
      <c r="A150" s="269"/>
      <c r="B150" s="270"/>
      <c r="C150" s="270"/>
      <c r="D150" s="270"/>
      <c r="E150" s="270"/>
      <c r="F150" s="270"/>
      <c r="G150" s="270"/>
      <c r="H150" s="270"/>
      <c r="I150" s="270"/>
      <c r="J150" s="270"/>
      <c r="K150" s="271"/>
    </row>
    <row r="151" spans="1:16" ht="116.25" customHeight="1" x14ac:dyDescent="0.2">
      <c r="A151" s="246"/>
      <c r="B151" s="247"/>
      <c r="C151" s="247"/>
      <c r="D151" s="247"/>
      <c r="E151" s="247"/>
      <c r="F151" s="247"/>
      <c r="G151" s="247"/>
      <c r="H151" s="247"/>
      <c r="I151" s="247"/>
      <c r="J151" s="247"/>
      <c r="K151" s="248"/>
    </row>
    <row r="152" spans="1:16" ht="27" customHeight="1" x14ac:dyDescent="0.2">
      <c r="A152" s="198" t="s">
        <v>190</v>
      </c>
      <c r="B152" s="198"/>
      <c r="C152" s="198"/>
      <c r="D152" s="198"/>
      <c r="E152" s="198"/>
      <c r="F152" s="198"/>
      <c r="G152" s="198"/>
      <c r="H152" s="198"/>
      <c r="I152" s="198"/>
      <c r="J152" s="198"/>
      <c r="K152" s="199"/>
    </row>
    <row r="153" spans="1:16" ht="24.95" customHeight="1" x14ac:dyDescent="0.2">
      <c r="A153" s="272" t="s">
        <v>191</v>
      </c>
      <c r="B153" s="273"/>
      <c r="C153" s="274"/>
      <c r="D153" s="110">
        <f>D143</f>
        <v>46125</v>
      </c>
      <c r="E153" s="110">
        <f t="shared" ref="E153:J153" si="49">E143</f>
        <v>46126</v>
      </c>
      <c r="F153" s="110">
        <f t="shared" si="49"/>
        <v>46127</v>
      </c>
      <c r="G153" s="110">
        <f t="shared" si="49"/>
        <v>46128</v>
      </c>
      <c r="H153" s="110">
        <f t="shared" si="49"/>
        <v>46129</v>
      </c>
      <c r="I153" s="110">
        <f t="shared" si="49"/>
        <v>46130</v>
      </c>
      <c r="J153" s="110">
        <f t="shared" si="49"/>
        <v>46131</v>
      </c>
      <c r="K153" s="111" t="s">
        <v>173</v>
      </c>
    </row>
    <row r="154" spans="1:16" ht="24.95" customHeight="1" x14ac:dyDescent="0.2">
      <c r="A154" s="9">
        <v>1</v>
      </c>
      <c r="B154" s="118" t="s">
        <v>59</v>
      </c>
      <c r="C154" s="118"/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27">
        <f>SUM(D154:J154)</f>
        <v>0</v>
      </c>
    </row>
    <row r="155" spans="1:16" s="13" customFormat="1" ht="24.95" customHeight="1" x14ac:dyDescent="0.2">
      <c r="A155" s="9">
        <v>2</v>
      </c>
      <c r="B155" s="118" t="s">
        <v>60</v>
      </c>
      <c r="C155" s="118"/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27">
        <f>SUM(D155:J155)</f>
        <v>0</v>
      </c>
    </row>
    <row r="156" spans="1:16" s="13" customFormat="1" ht="24.95" customHeight="1" x14ac:dyDescent="0.2">
      <c r="A156" s="9">
        <v>3</v>
      </c>
      <c r="B156" s="118" t="s">
        <v>61</v>
      </c>
      <c r="C156" s="118"/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27">
        <f>SUM(D156:J156)</f>
        <v>0</v>
      </c>
    </row>
    <row r="157" spans="1:16" ht="24.95" customHeight="1" x14ac:dyDescent="0.2">
      <c r="A157" s="9">
        <v>4</v>
      </c>
      <c r="B157" s="118" t="s">
        <v>62</v>
      </c>
      <c r="C157" s="118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27">
        <f>SUM(D157:J157)</f>
        <v>0</v>
      </c>
    </row>
    <row r="158" spans="1:16" ht="27.75" customHeight="1" x14ac:dyDescent="0.2">
      <c r="A158" s="127" t="s">
        <v>63</v>
      </c>
      <c r="B158" s="127"/>
      <c r="C158" s="127"/>
      <c r="D158" s="11">
        <f t="shared" ref="D158:K159" si="50">D154+D156</f>
        <v>0</v>
      </c>
      <c r="E158" s="11">
        <f t="shared" si="50"/>
        <v>0</v>
      </c>
      <c r="F158" s="11">
        <f t="shared" si="50"/>
        <v>0</v>
      </c>
      <c r="G158" s="11">
        <f t="shared" si="50"/>
        <v>0</v>
      </c>
      <c r="H158" s="11">
        <f t="shared" si="50"/>
        <v>0</v>
      </c>
      <c r="I158" s="11">
        <f t="shared" si="50"/>
        <v>0</v>
      </c>
      <c r="J158" s="11">
        <f t="shared" si="50"/>
        <v>0</v>
      </c>
      <c r="K158" s="11">
        <f t="shared" si="50"/>
        <v>0</v>
      </c>
    </row>
    <row r="159" spans="1:16" ht="29.25" customHeight="1" x14ac:dyDescent="0.2">
      <c r="A159" s="230" t="s">
        <v>64</v>
      </c>
      <c r="B159" s="230"/>
      <c r="C159" s="230"/>
      <c r="D159" s="11">
        <f t="shared" si="50"/>
        <v>0</v>
      </c>
      <c r="E159" s="11">
        <f t="shared" si="50"/>
        <v>0</v>
      </c>
      <c r="F159" s="11">
        <f t="shared" si="50"/>
        <v>0</v>
      </c>
      <c r="G159" s="11">
        <f t="shared" si="50"/>
        <v>0</v>
      </c>
      <c r="H159" s="11">
        <f t="shared" si="50"/>
        <v>0</v>
      </c>
      <c r="I159" s="11">
        <f>I155+I157</f>
        <v>0</v>
      </c>
      <c r="J159" s="11">
        <f t="shared" si="50"/>
        <v>0</v>
      </c>
      <c r="K159" s="11">
        <f t="shared" si="50"/>
        <v>0</v>
      </c>
    </row>
    <row r="160" spans="1:16" ht="38.25" customHeight="1" x14ac:dyDescent="0.2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</row>
    <row r="161" spans="1:11" ht="4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</row>
    <row r="162" spans="1:11" ht="53.2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</row>
    <row r="163" spans="1:11" ht="49.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</row>
    <row r="164" spans="1:11" ht="56.2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1:11" ht="50.2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</row>
    <row r="166" spans="1:11" ht="72.75" customHeight="1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</row>
    <row r="167" spans="1:11" ht="27" customHeight="1" x14ac:dyDescent="0.2">
      <c r="A167" s="221" t="s">
        <v>199</v>
      </c>
      <c r="B167" s="222"/>
      <c r="C167" s="222"/>
      <c r="D167" s="222"/>
      <c r="E167" s="222"/>
      <c r="F167" s="222"/>
      <c r="G167" s="222"/>
      <c r="H167" s="222"/>
      <c r="I167" s="222"/>
      <c r="J167" s="222"/>
      <c r="K167" s="223"/>
    </row>
    <row r="168" spans="1:11" ht="9" customHeight="1" x14ac:dyDescent="0.2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3"/>
    </row>
    <row r="169" spans="1:11" ht="24.95" customHeight="1" x14ac:dyDescent="0.2">
      <c r="A169" s="227" t="s">
        <v>65</v>
      </c>
      <c r="B169" s="228"/>
      <c r="C169" s="228"/>
      <c r="D169" s="228"/>
      <c r="E169" s="228"/>
      <c r="F169" s="228"/>
      <c r="G169" s="228"/>
      <c r="H169" s="228"/>
      <c r="I169" s="228"/>
      <c r="J169" s="228"/>
      <c r="K169" s="229"/>
    </row>
    <row r="170" spans="1:11" ht="24.95" customHeight="1" x14ac:dyDescent="0.2">
      <c r="A170" s="255" t="s">
        <v>171</v>
      </c>
      <c r="B170" s="255"/>
      <c r="C170" s="255"/>
      <c r="D170" s="87">
        <f>D153</f>
        <v>46125</v>
      </c>
      <c r="E170" s="87">
        <f t="shared" ref="E170:J170" si="51">E153</f>
        <v>46126</v>
      </c>
      <c r="F170" s="87">
        <f t="shared" si="51"/>
        <v>46127</v>
      </c>
      <c r="G170" s="87">
        <f t="shared" si="51"/>
        <v>46128</v>
      </c>
      <c r="H170" s="87">
        <f t="shared" si="51"/>
        <v>46129</v>
      </c>
      <c r="I170" s="87">
        <f t="shared" si="51"/>
        <v>46130</v>
      </c>
      <c r="J170" s="87">
        <f t="shared" si="51"/>
        <v>46131</v>
      </c>
      <c r="K170" s="86" t="s">
        <v>173</v>
      </c>
    </row>
    <row r="171" spans="1:11" ht="24.95" customHeight="1" x14ac:dyDescent="0.2">
      <c r="A171" s="9">
        <v>1</v>
      </c>
      <c r="B171" s="220" t="s">
        <v>66</v>
      </c>
      <c r="C171" s="220"/>
      <c r="D171" s="113">
        <v>0</v>
      </c>
      <c r="E171" s="113">
        <v>0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4">
        <f>SUM(D171:J171)</f>
        <v>0</v>
      </c>
    </row>
    <row r="172" spans="1:11" ht="24.95" customHeight="1" x14ac:dyDescent="0.2">
      <c r="A172" s="9">
        <v>2</v>
      </c>
      <c r="B172" s="220" t="s">
        <v>67</v>
      </c>
      <c r="C172" s="220"/>
      <c r="D172" s="113">
        <v>0</v>
      </c>
      <c r="E172" s="113">
        <v>0</v>
      </c>
      <c r="F172" s="113">
        <v>0</v>
      </c>
      <c r="G172" s="113">
        <v>0</v>
      </c>
      <c r="H172" s="113">
        <v>0</v>
      </c>
      <c r="I172" s="113">
        <v>0</v>
      </c>
      <c r="J172" s="113">
        <v>0</v>
      </c>
      <c r="K172" s="114">
        <f>SUM(D172:J172)</f>
        <v>0</v>
      </c>
    </row>
    <row r="173" spans="1:11" ht="24.95" customHeight="1" x14ac:dyDescent="0.2">
      <c r="A173" s="9">
        <v>3</v>
      </c>
      <c r="B173" s="184" t="s">
        <v>68</v>
      </c>
      <c r="C173" s="184"/>
      <c r="D173" s="113">
        <v>0</v>
      </c>
      <c r="E173" s="113">
        <v>0</v>
      </c>
      <c r="F173" s="113">
        <v>0</v>
      </c>
      <c r="G173" s="113">
        <v>0</v>
      </c>
      <c r="H173" s="113">
        <v>0</v>
      </c>
      <c r="I173" s="113">
        <v>0</v>
      </c>
      <c r="J173" s="113">
        <v>0</v>
      </c>
      <c r="K173" s="114">
        <f t="shared" ref="K173:K176" si="52">SUM(D173:J173)</f>
        <v>0</v>
      </c>
    </row>
    <row r="174" spans="1:11" ht="24.95" customHeight="1" x14ac:dyDescent="0.2">
      <c r="A174" s="9">
        <v>4</v>
      </c>
      <c r="B174" s="184" t="s">
        <v>69</v>
      </c>
      <c r="C174" s="184"/>
      <c r="D174" s="113">
        <v>0</v>
      </c>
      <c r="E174" s="113">
        <v>0</v>
      </c>
      <c r="F174" s="113">
        <v>0</v>
      </c>
      <c r="G174" s="113">
        <v>0</v>
      </c>
      <c r="H174" s="113">
        <v>0</v>
      </c>
      <c r="I174" s="113">
        <v>0</v>
      </c>
      <c r="J174" s="113">
        <v>0</v>
      </c>
      <c r="K174" s="114">
        <f t="shared" si="52"/>
        <v>0</v>
      </c>
    </row>
    <row r="175" spans="1:11" ht="24.95" customHeight="1" x14ac:dyDescent="0.2">
      <c r="A175" s="9">
        <v>5</v>
      </c>
      <c r="B175" s="184" t="s">
        <v>70</v>
      </c>
      <c r="C175" s="184"/>
      <c r="D175" s="113">
        <v>0</v>
      </c>
      <c r="E175" s="113">
        <v>0</v>
      </c>
      <c r="F175" s="113">
        <v>0</v>
      </c>
      <c r="G175" s="113">
        <v>0</v>
      </c>
      <c r="H175" s="113">
        <v>0</v>
      </c>
      <c r="I175" s="113">
        <v>0</v>
      </c>
      <c r="J175" s="113">
        <v>0</v>
      </c>
      <c r="K175" s="114">
        <f t="shared" si="52"/>
        <v>0</v>
      </c>
    </row>
    <row r="176" spans="1:11" ht="24.95" customHeight="1" x14ac:dyDescent="0.2">
      <c r="A176" s="9">
        <v>6</v>
      </c>
      <c r="B176" s="184" t="s">
        <v>71</v>
      </c>
      <c r="C176" s="184"/>
      <c r="D176" s="113">
        <v>0</v>
      </c>
      <c r="E176" s="113">
        <v>0</v>
      </c>
      <c r="F176" s="113">
        <v>0</v>
      </c>
      <c r="G176" s="113">
        <v>0</v>
      </c>
      <c r="H176" s="113">
        <v>0</v>
      </c>
      <c r="I176" s="113">
        <v>0</v>
      </c>
      <c r="J176" s="113">
        <v>0</v>
      </c>
      <c r="K176" s="114">
        <f t="shared" si="52"/>
        <v>0</v>
      </c>
    </row>
    <row r="177" spans="1:16" ht="24.95" customHeight="1" x14ac:dyDescent="0.2">
      <c r="A177" s="9">
        <v>7</v>
      </c>
      <c r="B177" s="184" t="s">
        <v>72</v>
      </c>
      <c r="C177" s="184"/>
      <c r="D177" s="113">
        <v>0</v>
      </c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4">
        <f>SUM(D177:J177)</f>
        <v>0</v>
      </c>
    </row>
    <row r="178" spans="1:16" ht="24.95" customHeight="1" x14ac:dyDescent="0.2">
      <c r="A178" s="9">
        <v>8</v>
      </c>
      <c r="B178" s="184" t="s">
        <v>73</v>
      </c>
      <c r="C178" s="184"/>
      <c r="D178" s="113">
        <v>0</v>
      </c>
      <c r="E178" s="113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4">
        <f>SUM(D178:J178)</f>
        <v>0</v>
      </c>
    </row>
    <row r="179" spans="1:16" ht="24.95" customHeight="1" x14ac:dyDescent="0.2">
      <c r="A179" s="9">
        <v>9</v>
      </c>
      <c r="B179" s="118"/>
      <c r="C179" s="118"/>
      <c r="D179" s="17"/>
      <c r="E179" s="17"/>
      <c r="F179" s="17"/>
      <c r="G179" s="17"/>
      <c r="H179" s="17"/>
      <c r="I179" s="17"/>
      <c r="J179" s="17"/>
      <c r="K179" s="29"/>
    </row>
    <row r="180" spans="1:16" s="6" customFormat="1" ht="24.95" customHeight="1" x14ac:dyDescent="0.2">
      <c r="A180" s="9">
        <v>10</v>
      </c>
      <c r="B180" s="118"/>
      <c r="C180" s="118"/>
      <c r="D180" s="17"/>
      <c r="E180" s="17"/>
      <c r="F180" s="17"/>
      <c r="G180" s="17"/>
      <c r="H180" s="17"/>
      <c r="I180" s="17"/>
      <c r="J180" s="17"/>
      <c r="K180" s="29"/>
    </row>
    <row r="181" spans="1:16" s="6" customFormat="1" ht="24.95" customHeight="1" x14ac:dyDescent="0.2">
      <c r="A181" s="9">
        <v>11</v>
      </c>
      <c r="B181" s="118"/>
      <c r="C181" s="118"/>
      <c r="D181" s="17"/>
      <c r="E181" s="17"/>
      <c r="F181" s="17"/>
      <c r="G181" s="17"/>
      <c r="H181" s="17"/>
      <c r="I181" s="17"/>
      <c r="J181" s="17"/>
      <c r="K181" s="29"/>
    </row>
    <row r="182" spans="1:16" ht="24.95" customHeight="1" x14ac:dyDescent="0.2">
      <c r="A182" s="9">
        <v>12</v>
      </c>
      <c r="B182" s="118"/>
      <c r="C182" s="118"/>
      <c r="D182" s="17"/>
      <c r="E182" s="17"/>
      <c r="F182" s="17"/>
      <c r="G182" s="17"/>
      <c r="H182" s="17"/>
      <c r="I182" s="17"/>
      <c r="J182" s="17"/>
      <c r="K182" s="29"/>
    </row>
    <row r="183" spans="1:16" ht="24.95" customHeight="1" x14ac:dyDescent="0.2">
      <c r="A183" s="230" t="s">
        <v>74</v>
      </c>
      <c r="B183" s="230"/>
      <c r="C183" s="230"/>
      <c r="D183" s="11">
        <f>D171+D173+D175+D177+D179+D181</f>
        <v>0</v>
      </c>
      <c r="E183" s="11">
        <f t="shared" ref="E183:K184" si="53">E171+E173+E175+E177+E179+E181</f>
        <v>0</v>
      </c>
      <c r="F183" s="11">
        <f t="shared" si="53"/>
        <v>0</v>
      </c>
      <c r="G183" s="11">
        <f t="shared" si="53"/>
        <v>0</v>
      </c>
      <c r="H183" s="11">
        <f t="shared" si="53"/>
        <v>0</v>
      </c>
      <c r="I183" s="11">
        <f t="shared" si="53"/>
        <v>0</v>
      </c>
      <c r="J183" s="11">
        <f t="shared" si="53"/>
        <v>0</v>
      </c>
      <c r="K183" s="11">
        <f>K171+K173+K175+K177+K179+K181</f>
        <v>0</v>
      </c>
    </row>
    <row r="184" spans="1:16" ht="24.95" customHeight="1" x14ac:dyDescent="0.2">
      <c r="A184" s="230" t="s">
        <v>75</v>
      </c>
      <c r="B184" s="230"/>
      <c r="C184" s="230"/>
      <c r="D184" s="11">
        <f>D172+D174+D176+D178+D180+D182</f>
        <v>0</v>
      </c>
      <c r="E184" s="11">
        <f t="shared" si="53"/>
        <v>0</v>
      </c>
      <c r="F184" s="11">
        <f t="shared" si="53"/>
        <v>0</v>
      </c>
      <c r="G184" s="11">
        <f t="shared" si="53"/>
        <v>0</v>
      </c>
      <c r="H184" s="11">
        <f t="shared" si="53"/>
        <v>0</v>
      </c>
      <c r="I184" s="11">
        <f t="shared" si="53"/>
        <v>0</v>
      </c>
      <c r="J184" s="11">
        <f t="shared" si="53"/>
        <v>0</v>
      </c>
      <c r="K184" s="11">
        <f t="shared" si="53"/>
        <v>0</v>
      </c>
    </row>
    <row r="185" spans="1:16" ht="24.95" customHeight="1" x14ac:dyDescent="0.2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</row>
    <row r="186" spans="1:16" ht="24.95" customHeight="1" x14ac:dyDescent="0.2">
      <c r="A186" s="227" t="s">
        <v>76</v>
      </c>
      <c r="B186" s="228"/>
      <c r="C186" s="228"/>
      <c r="D186" s="228"/>
      <c r="E186" s="228"/>
      <c r="F186" s="228"/>
      <c r="G186" s="228"/>
      <c r="H186" s="228"/>
      <c r="I186" s="228"/>
      <c r="J186" s="228"/>
      <c r="K186" s="229"/>
    </row>
    <row r="187" spans="1:16" ht="24.95" customHeight="1" x14ac:dyDescent="0.2">
      <c r="A187" s="255" t="s">
        <v>171</v>
      </c>
      <c r="B187" s="255"/>
      <c r="C187" s="255"/>
      <c r="D187" s="87">
        <f>D170</f>
        <v>46125</v>
      </c>
      <c r="E187" s="87">
        <f t="shared" ref="E187:J187" si="54">E170</f>
        <v>46126</v>
      </c>
      <c r="F187" s="87">
        <f t="shared" si="54"/>
        <v>46127</v>
      </c>
      <c r="G187" s="87">
        <f t="shared" si="54"/>
        <v>46128</v>
      </c>
      <c r="H187" s="87">
        <f t="shared" si="54"/>
        <v>46129</v>
      </c>
      <c r="I187" s="87">
        <f t="shared" si="54"/>
        <v>46130</v>
      </c>
      <c r="J187" s="87">
        <f t="shared" si="54"/>
        <v>46131</v>
      </c>
      <c r="K187" s="86" t="s">
        <v>173</v>
      </c>
    </row>
    <row r="188" spans="1:16" ht="24.95" customHeight="1" x14ac:dyDescent="0.2">
      <c r="A188" s="9">
        <v>1</v>
      </c>
      <c r="B188" s="118" t="s">
        <v>77</v>
      </c>
      <c r="C188" s="118"/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29">
        <f>SUM(D188:J188)</f>
        <v>0</v>
      </c>
    </row>
    <row r="189" spans="1:16" ht="24.95" customHeight="1" x14ac:dyDescent="0.2">
      <c r="A189" s="9">
        <v>2</v>
      </c>
      <c r="B189" s="118" t="s">
        <v>78</v>
      </c>
      <c r="C189" s="118"/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29">
        <f>SUM(D189:J189)</f>
        <v>0</v>
      </c>
    </row>
    <row r="190" spans="1:16" ht="24.95" customHeight="1" x14ac:dyDescent="0.2">
      <c r="A190" s="9">
        <v>3</v>
      </c>
      <c r="B190" s="118" t="s">
        <v>79</v>
      </c>
      <c r="C190" s="118"/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29">
        <f>SUM(D190:J190)</f>
        <v>0</v>
      </c>
    </row>
    <row r="191" spans="1:16" s="40" customFormat="1" ht="24.95" customHeight="1" x14ac:dyDescent="0.2">
      <c r="A191" s="127" t="s">
        <v>80</v>
      </c>
      <c r="B191" s="127"/>
      <c r="C191" s="127"/>
      <c r="D191" s="12">
        <f>SUM(D188:D190)</f>
        <v>0</v>
      </c>
      <c r="E191" s="12">
        <f t="shared" ref="E191:J191" si="55">SUM(E188:E190)</f>
        <v>0</v>
      </c>
      <c r="F191" s="12">
        <f t="shared" si="55"/>
        <v>0</v>
      </c>
      <c r="G191" s="12">
        <f t="shared" si="55"/>
        <v>0</v>
      </c>
      <c r="H191" s="12">
        <f t="shared" si="55"/>
        <v>0</v>
      </c>
      <c r="I191" s="12">
        <f t="shared" si="55"/>
        <v>0</v>
      </c>
      <c r="J191" s="12">
        <f t="shared" si="55"/>
        <v>0</v>
      </c>
      <c r="K191" s="109">
        <f>SUM(K188:K190)</f>
        <v>0</v>
      </c>
      <c r="O191" s="43"/>
      <c r="P191" s="58"/>
    </row>
    <row r="192" spans="1:16" s="40" customFormat="1" ht="24.95" customHeight="1" x14ac:dyDescent="0.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O192" s="43"/>
      <c r="P192" s="58"/>
    </row>
    <row r="193" spans="1:16" ht="24.95" customHeight="1" x14ac:dyDescent="0.2">
      <c r="A193" s="224" t="s">
        <v>85</v>
      </c>
      <c r="B193" s="224"/>
      <c r="C193" s="181" t="s">
        <v>86</v>
      </c>
      <c r="D193" s="181"/>
      <c r="E193" s="181"/>
      <c r="F193" s="181"/>
      <c r="G193" s="181"/>
      <c r="H193" s="181"/>
      <c r="I193" s="181"/>
      <c r="J193" s="181"/>
      <c r="K193" s="181"/>
    </row>
    <row r="194" spans="1:16" ht="24.95" customHeight="1" x14ac:dyDescent="0.2">
      <c r="A194" s="120">
        <v>1</v>
      </c>
      <c r="B194" s="120"/>
      <c r="C194" s="192"/>
      <c r="D194" s="225"/>
      <c r="E194" s="225"/>
      <c r="F194" s="225"/>
      <c r="G194" s="225"/>
      <c r="H194" s="225"/>
      <c r="I194" s="225"/>
      <c r="J194" s="225"/>
      <c r="K194" s="225"/>
    </row>
    <row r="195" spans="1:16" ht="24.95" customHeight="1" x14ac:dyDescent="0.2">
      <c r="A195" s="120">
        <v>2</v>
      </c>
      <c r="B195" s="120">
        <v>2</v>
      </c>
      <c r="C195" s="170"/>
      <c r="D195" s="171"/>
      <c r="E195" s="171"/>
      <c r="F195" s="171"/>
      <c r="G195" s="171"/>
      <c r="H195" s="171"/>
      <c r="I195" s="171"/>
      <c r="J195" s="171"/>
      <c r="K195" s="171"/>
    </row>
    <row r="196" spans="1:16" ht="24.95" customHeight="1" x14ac:dyDescent="0.2">
      <c r="A196" s="120">
        <v>3</v>
      </c>
      <c r="B196" s="120"/>
      <c r="C196" s="170"/>
      <c r="D196" s="171"/>
      <c r="E196" s="171"/>
      <c r="F196" s="171"/>
      <c r="G196" s="171"/>
      <c r="H196" s="171"/>
      <c r="I196" s="171"/>
      <c r="J196" s="171"/>
      <c r="K196" s="171"/>
    </row>
    <row r="197" spans="1:16" ht="24.95" customHeight="1" x14ac:dyDescent="0.2">
      <c r="A197" s="120">
        <v>4</v>
      </c>
      <c r="B197" s="120">
        <v>2</v>
      </c>
      <c r="C197" s="170"/>
      <c r="D197" s="171"/>
      <c r="E197" s="171"/>
      <c r="F197" s="171"/>
      <c r="G197" s="171"/>
      <c r="H197" s="171"/>
      <c r="I197" s="171"/>
      <c r="J197" s="171"/>
      <c r="K197" s="171"/>
    </row>
    <row r="198" spans="1:16" ht="24.95" customHeight="1" x14ac:dyDescent="0.2">
      <c r="A198" s="120">
        <v>5</v>
      </c>
      <c r="B198" s="120"/>
      <c r="C198" s="170"/>
      <c r="D198" s="171"/>
      <c r="E198" s="171"/>
      <c r="F198" s="171"/>
      <c r="G198" s="171"/>
      <c r="H198" s="171"/>
      <c r="I198" s="171"/>
      <c r="J198" s="171"/>
      <c r="K198" s="171"/>
    </row>
    <row r="199" spans="1:16" ht="24.95" customHeight="1" x14ac:dyDescent="0.2">
      <c r="A199" s="120">
        <v>6</v>
      </c>
      <c r="B199" s="120">
        <v>2</v>
      </c>
      <c r="C199" s="170"/>
      <c r="D199" s="171"/>
      <c r="E199" s="171"/>
      <c r="F199" s="171"/>
      <c r="G199" s="171"/>
      <c r="H199" s="171"/>
      <c r="I199" s="171"/>
      <c r="J199" s="171"/>
      <c r="K199" s="171"/>
    </row>
    <row r="200" spans="1:16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</row>
    <row r="201" spans="1:16" ht="24.95" customHeight="1" x14ac:dyDescent="0.2">
      <c r="A201" s="224" t="s">
        <v>85</v>
      </c>
      <c r="B201" s="224"/>
      <c r="C201" s="181" t="s">
        <v>87</v>
      </c>
      <c r="D201" s="181"/>
      <c r="E201" s="181"/>
      <c r="F201" s="181"/>
      <c r="G201" s="181"/>
      <c r="H201" s="181"/>
      <c r="I201" s="181"/>
      <c r="J201" s="181"/>
      <c r="K201" s="181"/>
    </row>
    <row r="202" spans="1:16" s="40" customFormat="1" ht="24.95" customHeight="1" x14ac:dyDescent="0.2">
      <c r="A202" s="120">
        <v>1</v>
      </c>
      <c r="B202" s="120"/>
      <c r="C202" s="192"/>
      <c r="D202" s="225"/>
      <c r="E202" s="225"/>
      <c r="F202" s="225"/>
      <c r="G202" s="225"/>
      <c r="H202" s="225"/>
      <c r="I202" s="225"/>
      <c r="J202" s="225"/>
      <c r="K202" s="225"/>
      <c r="P202" s="60"/>
    </row>
    <row r="203" spans="1:16" s="40" customFormat="1" ht="24.95" customHeight="1" x14ac:dyDescent="0.2">
      <c r="A203" s="120">
        <v>2</v>
      </c>
      <c r="B203" s="120">
        <v>2</v>
      </c>
      <c r="C203" s="170"/>
      <c r="D203" s="171"/>
      <c r="E203" s="171"/>
      <c r="F203" s="171"/>
      <c r="G203" s="171"/>
      <c r="H203" s="171"/>
      <c r="I203" s="171"/>
      <c r="J203" s="171"/>
      <c r="K203" s="171"/>
      <c r="P203" s="60"/>
    </row>
    <row r="204" spans="1:16" s="40" customFormat="1" ht="24.95" customHeight="1" x14ac:dyDescent="0.2">
      <c r="A204" s="120">
        <v>3</v>
      </c>
      <c r="B204" s="120"/>
      <c r="C204" s="170"/>
      <c r="D204" s="171"/>
      <c r="E204" s="171"/>
      <c r="F204" s="171"/>
      <c r="G204" s="171"/>
      <c r="H204" s="171"/>
      <c r="I204" s="171"/>
      <c r="J204" s="171"/>
      <c r="K204" s="171"/>
      <c r="P204" s="60"/>
    </row>
    <row r="205" spans="1:16" s="40" customFormat="1" ht="24.95" customHeight="1" x14ac:dyDescent="0.2">
      <c r="A205" s="120">
        <v>4</v>
      </c>
      <c r="B205" s="120">
        <v>2</v>
      </c>
      <c r="C205" s="170"/>
      <c r="D205" s="171"/>
      <c r="E205" s="171"/>
      <c r="F205" s="171"/>
      <c r="G205" s="171"/>
      <c r="H205" s="171"/>
      <c r="I205" s="171"/>
      <c r="J205" s="171"/>
      <c r="K205" s="171"/>
      <c r="P205" s="60"/>
    </row>
    <row r="206" spans="1:16" s="40" customFormat="1" ht="24.95" customHeight="1" x14ac:dyDescent="0.2">
      <c r="A206" s="120">
        <v>5</v>
      </c>
      <c r="B206" s="120"/>
      <c r="C206" s="170"/>
      <c r="D206" s="171"/>
      <c r="E206" s="171"/>
      <c r="F206" s="171"/>
      <c r="G206" s="171"/>
      <c r="H206" s="171"/>
      <c r="I206" s="171"/>
      <c r="J206" s="171"/>
      <c r="K206" s="171"/>
      <c r="P206" s="60"/>
    </row>
    <row r="207" spans="1:16" ht="24.95" customHeight="1" x14ac:dyDescent="0.2">
      <c r="A207" s="120">
        <v>6</v>
      </c>
      <c r="B207" s="120">
        <v>2</v>
      </c>
      <c r="C207" s="170"/>
      <c r="D207" s="171"/>
      <c r="E207" s="171"/>
      <c r="F207" s="171"/>
      <c r="G207" s="171"/>
      <c r="H207" s="171"/>
      <c r="I207" s="171"/>
      <c r="J207" s="171"/>
      <c r="K207" s="171"/>
    </row>
    <row r="208" spans="1:16" ht="15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</row>
    <row r="209" spans="1:11" ht="24.95" customHeight="1" x14ac:dyDescent="0.2">
      <c r="A209" s="181" t="s">
        <v>88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spans="1:11" ht="27.95" customHeight="1" x14ac:dyDescent="0.2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 spans="1:11" ht="27.95" customHeight="1" x14ac:dyDescent="0.2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 spans="1:11" ht="27.95" customHeight="1" x14ac:dyDescent="0.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 spans="1:11" ht="27.95" customHeight="1" x14ac:dyDescent="0.2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 spans="1:11" ht="27.9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</row>
    <row r="215" spans="1:11" ht="23.25" customHeight="1" x14ac:dyDescent="0.2">
      <c r="A215" s="188" t="s">
        <v>89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</row>
    <row r="216" spans="1:11" x14ac:dyDescent="0.2">
      <c r="A216" s="189"/>
      <c r="B216" s="189"/>
      <c r="C216" s="189"/>
      <c r="D216" s="189"/>
      <c r="E216" s="190"/>
      <c r="F216" s="190"/>
      <c r="G216" s="190"/>
      <c r="H216" s="190"/>
      <c r="I216" s="190"/>
      <c r="J216" s="190"/>
      <c r="K216" s="190"/>
    </row>
    <row r="217" spans="1:11" x14ac:dyDescent="0.2">
      <c r="A217" s="189"/>
      <c r="B217" s="189"/>
      <c r="C217" s="189"/>
      <c r="D217" s="189"/>
      <c r="E217" s="190"/>
      <c r="F217" s="190"/>
      <c r="G217" s="190"/>
      <c r="H217" s="190"/>
      <c r="I217" s="190"/>
      <c r="J217" s="190"/>
      <c r="K217" s="190"/>
    </row>
    <row r="218" spans="1:11" x14ac:dyDescent="0.2">
      <c r="A218" s="189"/>
      <c r="B218" s="189"/>
      <c r="C218" s="189"/>
      <c r="D218" s="189"/>
      <c r="E218" s="190"/>
      <c r="F218" s="190"/>
      <c r="G218" s="190"/>
      <c r="H218" s="190"/>
      <c r="I218" s="190"/>
      <c r="J218" s="190"/>
      <c r="K218" s="190"/>
    </row>
    <row r="219" spans="1:11" x14ac:dyDescent="0.2">
      <c r="A219" s="189"/>
      <c r="B219" s="189"/>
      <c r="C219" s="189"/>
      <c r="D219" s="189"/>
      <c r="E219" s="190"/>
      <c r="F219" s="190"/>
      <c r="G219" s="190"/>
      <c r="H219" s="190"/>
      <c r="I219" s="190"/>
      <c r="J219" s="190"/>
      <c r="K219" s="190"/>
    </row>
    <row r="220" spans="1:11" x14ac:dyDescent="0.2">
      <c r="A220" s="189"/>
      <c r="B220" s="189"/>
      <c r="C220" s="189"/>
      <c r="D220" s="189"/>
      <c r="E220" s="190"/>
      <c r="F220" s="190"/>
      <c r="G220" s="190"/>
      <c r="H220" s="190"/>
      <c r="I220" s="190"/>
      <c r="J220" s="190"/>
      <c r="K220" s="190"/>
    </row>
    <row r="221" spans="1:11" x14ac:dyDescent="0.2">
      <c r="A221" s="189"/>
      <c r="B221" s="189"/>
      <c r="C221" s="189"/>
      <c r="D221" s="189"/>
      <c r="E221" s="190"/>
      <c r="F221" s="190"/>
      <c r="G221" s="190"/>
      <c r="H221" s="190"/>
      <c r="I221" s="190"/>
      <c r="J221" s="190"/>
      <c r="K221" s="190"/>
    </row>
    <row r="222" spans="1:11" x14ac:dyDescent="0.2">
      <c r="A222" s="189"/>
      <c r="B222" s="189"/>
      <c r="C222" s="189"/>
      <c r="D222" s="189"/>
      <c r="E222" s="190"/>
      <c r="F222" s="190"/>
      <c r="G222" s="190"/>
      <c r="H222" s="190"/>
      <c r="I222" s="190"/>
      <c r="J222" s="190"/>
      <c r="K222" s="190"/>
    </row>
    <row r="223" spans="1:11" x14ac:dyDescent="0.2">
      <c r="A223" s="189"/>
      <c r="B223" s="189"/>
      <c r="C223" s="189"/>
      <c r="D223" s="189"/>
      <c r="E223" s="190"/>
      <c r="F223" s="190"/>
      <c r="G223" s="190"/>
      <c r="H223" s="190"/>
      <c r="I223" s="190"/>
      <c r="J223" s="190"/>
      <c r="K223" s="190"/>
    </row>
    <row r="224" spans="1:11" x14ac:dyDescent="0.2">
      <c r="A224" s="189"/>
      <c r="B224" s="189"/>
      <c r="C224" s="189"/>
      <c r="D224" s="189"/>
      <c r="E224" s="190"/>
      <c r="F224" s="190"/>
      <c r="G224" s="190"/>
      <c r="H224" s="190"/>
      <c r="I224" s="190"/>
      <c r="J224" s="190"/>
      <c r="K224" s="190"/>
    </row>
    <row r="225" spans="1:11" x14ac:dyDescent="0.2">
      <c r="A225" s="189"/>
      <c r="B225" s="189"/>
      <c r="C225" s="189"/>
      <c r="D225" s="189"/>
      <c r="E225" s="190"/>
      <c r="F225" s="190"/>
      <c r="G225" s="190"/>
      <c r="H225" s="190"/>
      <c r="I225" s="190"/>
      <c r="J225" s="190"/>
      <c r="K225" s="190"/>
    </row>
    <row r="226" spans="1:11" x14ac:dyDescent="0.2">
      <c r="A226" s="189"/>
      <c r="B226" s="189"/>
      <c r="C226" s="189"/>
      <c r="D226" s="189"/>
      <c r="E226" s="190"/>
      <c r="F226" s="190"/>
      <c r="G226" s="190"/>
      <c r="H226" s="190"/>
      <c r="I226" s="190"/>
      <c r="J226" s="190"/>
      <c r="K226" s="190"/>
    </row>
    <row r="227" spans="1:11" x14ac:dyDescent="0.2">
      <c r="A227" s="189"/>
      <c r="B227" s="189"/>
      <c r="C227" s="189"/>
      <c r="D227" s="189"/>
      <c r="E227" s="190"/>
      <c r="F227" s="190"/>
      <c r="G227" s="190"/>
      <c r="H227" s="190"/>
      <c r="I227" s="190"/>
      <c r="J227" s="190"/>
      <c r="K227" s="190"/>
    </row>
    <row r="228" spans="1:11" x14ac:dyDescent="0.2">
      <c r="A228" s="189"/>
      <c r="B228" s="189"/>
      <c r="C228" s="189"/>
      <c r="D228" s="189"/>
      <c r="E228" s="190"/>
      <c r="F228" s="190"/>
      <c r="G228" s="190"/>
      <c r="H228" s="190"/>
      <c r="I228" s="190"/>
      <c r="J228" s="190"/>
      <c r="K228" s="190"/>
    </row>
    <row r="229" spans="1:11" ht="36" customHeight="1" x14ac:dyDescent="0.2">
      <c r="A229" s="189"/>
      <c r="B229" s="189"/>
      <c r="C229" s="189"/>
      <c r="D229" s="189"/>
      <c r="E229" s="190"/>
      <c r="F229" s="190"/>
      <c r="G229" s="190"/>
      <c r="H229" s="190"/>
      <c r="I229" s="190"/>
      <c r="J229" s="190"/>
      <c r="K229" s="190"/>
    </row>
    <row r="230" spans="1:11" x14ac:dyDescent="0.2">
      <c r="A230" s="189"/>
      <c r="B230" s="189"/>
      <c r="C230" s="189"/>
      <c r="D230" s="189"/>
      <c r="E230" s="190"/>
      <c r="F230" s="190"/>
      <c r="G230" s="190"/>
      <c r="H230" s="190"/>
      <c r="I230" s="190"/>
      <c r="J230" s="190"/>
      <c r="K230" s="190"/>
    </row>
    <row r="231" spans="1:11" x14ac:dyDescent="0.2">
      <c r="A231" s="189"/>
      <c r="B231" s="189"/>
      <c r="C231" s="189"/>
      <c r="D231" s="189"/>
      <c r="E231" s="190"/>
      <c r="F231" s="190"/>
      <c r="G231" s="190"/>
      <c r="H231" s="190"/>
      <c r="I231" s="190"/>
      <c r="J231" s="190"/>
      <c r="K231" s="190"/>
    </row>
    <row r="232" spans="1:11" x14ac:dyDescent="0.2">
      <c r="A232" s="192"/>
      <c r="B232" s="192"/>
      <c r="C232" s="192"/>
      <c r="D232" s="192"/>
      <c r="E232" s="193"/>
      <c r="F232" s="194"/>
      <c r="G232" s="194"/>
      <c r="H232" s="194"/>
      <c r="I232" s="194"/>
      <c r="J232" s="194"/>
      <c r="K232" s="195"/>
    </row>
    <row r="233" spans="1:11" x14ac:dyDescent="0.2">
      <c r="A233" s="171"/>
      <c r="B233" s="171"/>
      <c r="C233" s="171"/>
      <c r="D233" s="171"/>
      <c r="E233" s="190"/>
      <c r="F233" s="190"/>
      <c r="G233" s="190"/>
      <c r="H233" s="190"/>
      <c r="I233" s="190"/>
      <c r="J233" s="190"/>
      <c r="K233" s="190"/>
    </row>
    <row r="234" spans="1:11" x14ac:dyDescent="0.2">
      <c r="A234" s="171"/>
      <c r="B234" s="171"/>
      <c r="C234" s="171"/>
      <c r="D234" s="171"/>
      <c r="E234" s="190"/>
      <c r="F234" s="190"/>
      <c r="G234" s="190"/>
      <c r="H234" s="190"/>
      <c r="I234" s="190"/>
      <c r="J234" s="190"/>
      <c r="K234" s="190"/>
    </row>
    <row r="235" spans="1:11" x14ac:dyDescent="0.2">
      <c r="A235" s="171"/>
      <c r="B235" s="171"/>
      <c r="C235" s="171"/>
      <c r="D235" s="171"/>
      <c r="E235" s="190"/>
      <c r="F235" s="190"/>
      <c r="G235" s="190"/>
      <c r="H235" s="190"/>
      <c r="I235" s="190"/>
      <c r="J235" s="190"/>
      <c r="K235" s="190"/>
    </row>
    <row r="236" spans="1:11" x14ac:dyDescent="0.2">
      <c r="A236" s="171"/>
      <c r="B236" s="171"/>
      <c r="C236" s="171"/>
      <c r="D236" s="171"/>
      <c r="E236" s="190"/>
      <c r="F236" s="190"/>
      <c r="G236" s="190"/>
      <c r="H236" s="190"/>
      <c r="I236" s="190"/>
      <c r="J236" s="190"/>
      <c r="K236" s="190"/>
    </row>
    <row r="237" spans="1:11" x14ac:dyDescent="0.2">
      <c r="A237" s="171"/>
      <c r="B237" s="171"/>
      <c r="C237" s="171"/>
      <c r="D237" s="171"/>
      <c r="E237" s="190"/>
      <c r="F237" s="190"/>
      <c r="G237" s="190"/>
      <c r="H237" s="190"/>
      <c r="I237" s="190"/>
      <c r="J237" s="190"/>
      <c r="K237" s="190"/>
    </row>
    <row r="238" spans="1:11" x14ac:dyDescent="0.2">
      <c r="A238" s="171"/>
      <c r="B238" s="171"/>
      <c r="C238" s="171"/>
      <c r="D238" s="171"/>
      <c r="E238" s="190"/>
      <c r="F238" s="190"/>
      <c r="G238" s="190"/>
      <c r="H238" s="190"/>
      <c r="I238" s="190"/>
      <c r="J238" s="190"/>
      <c r="K238" s="190"/>
    </row>
    <row r="239" spans="1:11" x14ac:dyDescent="0.2">
      <c r="A239" s="171"/>
      <c r="B239" s="171"/>
      <c r="C239" s="171"/>
      <c r="D239" s="171"/>
      <c r="E239" s="190"/>
      <c r="F239" s="190"/>
      <c r="G239" s="190"/>
      <c r="H239" s="190"/>
      <c r="I239" s="190"/>
      <c r="J239" s="190"/>
      <c r="K239" s="190"/>
    </row>
    <row r="240" spans="1:11" x14ac:dyDescent="0.2">
      <c r="A240" s="171"/>
      <c r="B240" s="171"/>
      <c r="C240" s="171"/>
      <c r="D240" s="171"/>
      <c r="E240" s="190"/>
      <c r="F240" s="190"/>
      <c r="G240" s="190"/>
      <c r="H240" s="190"/>
      <c r="I240" s="190"/>
      <c r="J240" s="190"/>
      <c r="K240" s="190"/>
    </row>
    <row r="241" spans="1:11" x14ac:dyDescent="0.2">
      <c r="A241" s="171"/>
      <c r="B241" s="171"/>
      <c r="C241" s="171"/>
      <c r="D241" s="171"/>
      <c r="E241" s="190"/>
      <c r="F241" s="190"/>
      <c r="G241" s="190"/>
      <c r="H241" s="190"/>
      <c r="I241" s="190"/>
      <c r="J241" s="190"/>
      <c r="K241" s="190"/>
    </row>
    <row r="242" spans="1:11" x14ac:dyDescent="0.2">
      <c r="A242" s="171"/>
      <c r="B242" s="171"/>
      <c r="C242" s="171"/>
      <c r="D242" s="171"/>
      <c r="E242" s="190"/>
      <c r="F242" s="190"/>
      <c r="G242" s="190"/>
      <c r="H242" s="190"/>
      <c r="I242" s="190"/>
      <c r="J242" s="190"/>
      <c r="K242" s="190"/>
    </row>
    <row r="243" spans="1:11" x14ac:dyDescent="0.2">
      <c r="A243" s="171"/>
      <c r="B243" s="171"/>
      <c r="C243" s="171"/>
      <c r="D243" s="171"/>
      <c r="E243" s="190"/>
      <c r="F243" s="190"/>
      <c r="G243" s="190"/>
      <c r="H243" s="190"/>
      <c r="I243" s="190"/>
      <c r="J243" s="190"/>
      <c r="K243" s="190"/>
    </row>
    <row r="244" spans="1:11" x14ac:dyDescent="0.2">
      <c r="A244" s="171"/>
      <c r="B244" s="171"/>
      <c r="C244" s="171"/>
      <c r="D244" s="171"/>
      <c r="E244" s="190"/>
      <c r="F244" s="190"/>
      <c r="G244" s="190"/>
      <c r="H244" s="190"/>
      <c r="I244" s="190"/>
      <c r="J244" s="190"/>
      <c r="K244" s="190"/>
    </row>
    <row r="245" spans="1:11" x14ac:dyDescent="0.2">
      <c r="A245" s="171"/>
      <c r="B245" s="171"/>
      <c r="C245" s="171"/>
      <c r="D245" s="171"/>
      <c r="E245" s="190"/>
      <c r="F245" s="190"/>
      <c r="G245" s="190"/>
      <c r="H245" s="190"/>
      <c r="I245" s="190"/>
      <c r="J245" s="190"/>
      <c r="K245" s="190"/>
    </row>
    <row r="246" spans="1:11" ht="28.5" customHeight="1" x14ac:dyDescent="0.2">
      <c r="A246" s="171"/>
      <c r="B246" s="171"/>
      <c r="C246" s="171"/>
      <c r="D246" s="171"/>
      <c r="E246" s="190"/>
      <c r="F246" s="190"/>
      <c r="G246" s="190"/>
      <c r="H246" s="190"/>
      <c r="I246" s="190"/>
      <c r="J246" s="190"/>
      <c r="K246" s="190"/>
    </row>
    <row r="247" spans="1:11" ht="28.5" customHeight="1" x14ac:dyDescent="0.2">
      <c r="A247" s="171"/>
      <c r="B247" s="171"/>
      <c r="C247" s="171"/>
      <c r="D247" s="171"/>
      <c r="E247" s="190"/>
      <c r="F247" s="190"/>
      <c r="G247" s="190"/>
      <c r="H247" s="190"/>
      <c r="I247" s="190"/>
      <c r="J247" s="190"/>
      <c r="K247" s="190"/>
    </row>
    <row r="248" spans="1:11" ht="12.95" customHeight="1" x14ac:dyDescent="0.2">
      <c r="A248" s="171"/>
      <c r="B248" s="171"/>
      <c r="C248" s="171"/>
      <c r="D248" s="171"/>
      <c r="E248" s="190"/>
      <c r="F248" s="190"/>
      <c r="G248" s="190"/>
      <c r="H248" s="190"/>
      <c r="I248" s="190"/>
      <c r="J248" s="190"/>
      <c r="K248" s="190"/>
    </row>
    <row r="249" spans="1:11" ht="12.95" customHeight="1" x14ac:dyDescent="0.2">
      <c r="A249" s="170"/>
      <c r="B249" s="171"/>
      <c r="C249" s="171"/>
      <c r="D249" s="171"/>
      <c r="E249" s="192"/>
      <c r="F249" s="225"/>
      <c r="G249" s="225"/>
      <c r="H249" s="225"/>
      <c r="I249" s="192"/>
      <c r="J249" s="225"/>
      <c r="K249" s="225"/>
    </row>
    <row r="250" spans="1:11" ht="12.9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</row>
    <row r="251" spans="1:11" ht="12.95" customHeight="1" x14ac:dyDescent="0.2">
      <c r="A251" s="14"/>
      <c r="B251" s="171"/>
      <c r="C251" s="171"/>
      <c r="D251" s="171"/>
      <c r="E251" s="14"/>
      <c r="F251" s="14"/>
      <c r="G251" s="232"/>
      <c r="H251" s="233"/>
      <c r="I251" s="233"/>
      <c r="J251" s="234"/>
      <c r="K251" s="14"/>
    </row>
    <row r="252" spans="1:11" ht="39.75" customHeight="1" x14ac:dyDescent="0.2">
      <c r="A252" s="14"/>
      <c r="B252" s="171"/>
      <c r="C252" s="171"/>
      <c r="D252" s="171"/>
      <c r="E252" s="14"/>
      <c r="F252" s="14"/>
      <c r="G252" s="235"/>
      <c r="H252" s="236"/>
      <c r="I252" s="236"/>
      <c r="J252" s="237"/>
      <c r="K252" s="14"/>
    </row>
    <row r="253" spans="1:11" ht="39.75" customHeight="1" x14ac:dyDescent="0.2">
      <c r="A253" s="14"/>
      <c r="B253" s="171"/>
      <c r="C253" s="171"/>
      <c r="D253" s="171"/>
      <c r="E253" s="14"/>
      <c r="F253" s="14"/>
      <c r="G253" s="238"/>
      <c r="H253" s="239"/>
      <c r="I253" s="239"/>
      <c r="J253" s="240"/>
      <c r="K253" s="14"/>
    </row>
    <row r="254" spans="1:11" ht="39.75" customHeight="1" x14ac:dyDescent="0.2">
      <c r="A254" s="14"/>
      <c r="B254" s="127" t="s">
        <v>90</v>
      </c>
      <c r="C254" s="127"/>
      <c r="D254" s="127"/>
      <c r="E254" s="14"/>
      <c r="F254" s="14"/>
      <c r="G254" s="241" t="s">
        <v>91</v>
      </c>
      <c r="H254" s="242"/>
      <c r="I254" s="242"/>
      <c r="J254" s="243"/>
      <c r="K254" s="14"/>
    </row>
  </sheetData>
  <mergeCells count="255">
    <mergeCell ref="B254:D254"/>
    <mergeCell ref="G254:J254"/>
    <mergeCell ref="A249:D249"/>
    <mergeCell ref="E249:H249"/>
    <mergeCell ref="I249:K249"/>
    <mergeCell ref="A250:K250"/>
    <mergeCell ref="B251:D253"/>
    <mergeCell ref="G251:J253"/>
    <mergeCell ref="A216:D231"/>
    <mergeCell ref="E216:H231"/>
    <mergeCell ref="I216:K231"/>
    <mergeCell ref="A232:D232"/>
    <mergeCell ref="E232:K232"/>
    <mergeCell ref="A233:D248"/>
    <mergeCell ref="E233:H248"/>
    <mergeCell ref="I233:K248"/>
    <mergeCell ref="A210:K210"/>
    <mergeCell ref="A211:K211"/>
    <mergeCell ref="A212:K212"/>
    <mergeCell ref="A213:K213"/>
    <mergeCell ref="A214:K214"/>
    <mergeCell ref="A215:K215"/>
    <mergeCell ref="A206:B206"/>
    <mergeCell ref="C206:K206"/>
    <mergeCell ref="A207:B207"/>
    <mergeCell ref="C207:K207"/>
    <mergeCell ref="A208:K208"/>
    <mergeCell ref="A209:K209"/>
    <mergeCell ref="A203:B203"/>
    <mergeCell ref="C203:K203"/>
    <mergeCell ref="A204:B204"/>
    <mergeCell ref="C204:K204"/>
    <mergeCell ref="A205:B205"/>
    <mergeCell ref="C205:K205"/>
    <mergeCell ref="A199:B199"/>
    <mergeCell ref="C199:K199"/>
    <mergeCell ref="A200:K200"/>
    <mergeCell ref="A201:B201"/>
    <mergeCell ref="C201:K201"/>
    <mergeCell ref="A202:B202"/>
    <mergeCell ref="C202:K202"/>
    <mergeCell ref="A196:B196"/>
    <mergeCell ref="C196:K196"/>
    <mergeCell ref="A197:B197"/>
    <mergeCell ref="C197:K197"/>
    <mergeCell ref="A198:B198"/>
    <mergeCell ref="C198:K198"/>
    <mergeCell ref="A193:B193"/>
    <mergeCell ref="C193:K193"/>
    <mergeCell ref="A194:B194"/>
    <mergeCell ref="C194:K194"/>
    <mergeCell ref="A195:B195"/>
    <mergeCell ref="C195:K195"/>
    <mergeCell ref="A187:C187"/>
    <mergeCell ref="B188:C188"/>
    <mergeCell ref="B189:C189"/>
    <mergeCell ref="B190:C190"/>
    <mergeCell ref="A191:C191"/>
    <mergeCell ref="A192:K192"/>
    <mergeCell ref="B181:C181"/>
    <mergeCell ref="B182:C182"/>
    <mergeCell ref="A183:C183"/>
    <mergeCell ref="A184:C184"/>
    <mergeCell ref="A185:K185"/>
    <mergeCell ref="A186:K186"/>
    <mergeCell ref="B175:C175"/>
    <mergeCell ref="B176:C176"/>
    <mergeCell ref="B177:C177"/>
    <mergeCell ref="B178:C178"/>
    <mergeCell ref="B179:C179"/>
    <mergeCell ref="B180:C180"/>
    <mergeCell ref="A169:K169"/>
    <mergeCell ref="A170:C170"/>
    <mergeCell ref="B171:C171"/>
    <mergeCell ref="B172:C172"/>
    <mergeCell ref="B173:C173"/>
    <mergeCell ref="B174:C174"/>
    <mergeCell ref="B157:C157"/>
    <mergeCell ref="A158:C158"/>
    <mergeCell ref="A159:C159"/>
    <mergeCell ref="A160:K160"/>
    <mergeCell ref="A166:K166"/>
    <mergeCell ref="A167:K167"/>
    <mergeCell ref="A147:K151"/>
    <mergeCell ref="A152:K152"/>
    <mergeCell ref="A153:C153"/>
    <mergeCell ref="B154:C154"/>
    <mergeCell ref="B155:C155"/>
    <mergeCell ref="B156:C156"/>
    <mergeCell ref="A141:C141"/>
    <mergeCell ref="A142:K142"/>
    <mergeCell ref="A143:C143"/>
    <mergeCell ref="B144:C144"/>
    <mergeCell ref="B145:C145"/>
    <mergeCell ref="A146:C146"/>
    <mergeCell ref="B135:C135"/>
    <mergeCell ref="B136:C136"/>
    <mergeCell ref="A137:C137"/>
    <mergeCell ref="A138:K138"/>
    <mergeCell ref="A139:C139"/>
    <mergeCell ref="B140:C140"/>
    <mergeCell ref="A131:B131"/>
    <mergeCell ref="E131:G131"/>
    <mergeCell ref="H131:K131"/>
    <mergeCell ref="A132:K132"/>
    <mergeCell ref="A133:C133"/>
    <mergeCell ref="B134:C134"/>
    <mergeCell ref="A129:B129"/>
    <mergeCell ref="E129:G129"/>
    <mergeCell ref="H129:K129"/>
    <mergeCell ref="A130:B130"/>
    <mergeCell ref="E130:G130"/>
    <mergeCell ref="H130:K130"/>
    <mergeCell ref="J120:K120"/>
    <mergeCell ref="A125:K125"/>
    <mergeCell ref="A126:K126"/>
    <mergeCell ref="A127:K127"/>
    <mergeCell ref="A128:B128"/>
    <mergeCell ref="E128:G128"/>
    <mergeCell ref="H128:K128"/>
    <mergeCell ref="A117:B117"/>
    <mergeCell ref="D117:F117"/>
    <mergeCell ref="A118:B118"/>
    <mergeCell ref="D118:F118"/>
    <mergeCell ref="A119:I119"/>
    <mergeCell ref="A120:I120"/>
    <mergeCell ref="A114:B114"/>
    <mergeCell ref="D114:F114"/>
    <mergeCell ref="A115:B115"/>
    <mergeCell ref="D115:F115"/>
    <mergeCell ref="A116:B116"/>
    <mergeCell ref="D116:F116"/>
    <mergeCell ref="A111:B111"/>
    <mergeCell ref="D111:F111"/>
    <mergeCell ref="A112:B112"/>
    <mergeCell ref="D112:F112"/>
    <mergeCell ref="A113:B113"/>
    <mergeCell ref="D113:F113"/>
    <mergeCell ref="A103:B103"/>
    <mergeCell ref="D103:F103"/>
    <mergeCell ref="A104:B104"/>
    <mergeCell ref="D104:F104"/>
    <mergeCell ref="A110:B110"/>
    <mergeCell ref="D110:F110"/>
    <mergeCell ref="A99:K99"/>
    <mergeCell ref="A100:B100"/>
    <mergeCell ref="D100:F100"/>
    <mergeCell ref="A101:B101"/>
    <mergeCell ref="D101:F101"/>
    <mergeCell ref="A102:B102"/>
    <mergeCell ref="D102:F102"/>
    <mergeCell ref="A105:B105"/>
    <mergeCell ref="D105:F105"/>
    <mergeCell ref="A106:B106"/>
    <mergeCell ref="D106:F106"/>
    <mergeCell ref="A107:B107"/>
    <mergeCell ref="D107:F107"/>
    <mergeCell ref="A108:B108"/>
    <mergeCell ref="D108:F108"/>
    <mergeCell ref="A109:B109"/>
    <mergeCell ref="D109:F109"/>
    <mergeCell ref="B93:C93"/>
    <mergeCell ref="B94:C94"/>
    <mergeCell ref="A95:C95"/>
    <mergeCell ref="A96:K96"/>
    <mergeCell ref="A97:K97"/>
    <mergeCell ref="A98:K98"/>
    <mergeCell ref="B87:C87"/>
    <mergeCell ref="B88:C88"/>
    <mergeCell ref="B89:C89"/>
    <mergeCell ref="B90:C90"/>
    <mergeCell ref="B91:C91"/>
    <mergeCell ref="B92:C92"/>
    <mergeCell ref="A71:C71"/>
    <mergeCell ref="A72:C72"/>
    <mergeCell ref="B78:C78"/>
    <mergeCell ref="A83:K83"/>
    <mergeCell ref="A84:C86"/>
    <mergeCell ref="D84:K84"/>
    <mergeCell ref="K85:K86"/>
    <mergeCell ref="A65:C65"/>
    <mergeCell ref="A66:C66"/>
    <mergeCell ref="B67:C67"/>
    <mergeCell ref="B68:C68"/>
    <mergeCell ref="B69:C69"/>
    <mergeCell ref="B70:C70"/>
    <mergeCell ref="D58:K58"/>
    <mergeCell ref="K59:K60"/>
    <mergeCell ref="B61:C61"/>
    <mergeCell ref="B62:C62"/>
    <mergeCell ref="B63:C63"/>
    <mergeCell ref="B64:C64"/>
    <mergeCell ref="B53:C53"/>
    <mergeCell ref="B54:C54"/>
    <mergeCell ref="B55:C55"/>
    <mergeCell ref="A56:C56"/>
    <mergeCell ref="A57:C57"/>
    <mergeCell ref="A58:C60"/>
    <mergeCell ref="B47:C47"/>
    <mergeCell ref="B48:C48"/>
    <mergeCell ref="B49:C49"/>
    <mergeCell ref="A50:C50"/>
    <mergeCell ref="A51:C51"/>
    <mergeCell ref="B52:C52"/>
    <mergeCell ref="A41:C41"/>
    <mergeCell ref="A42:C42"/>
    <mergeCell ref="A43:C45"/>
    <mergeCell ref="D43:K43"/>
    <mergeCell ref="K44:K45"/>
    <mergeCell ref="B46:C46"/>
    <mergeCell ref="A35:C35"/>
    <mergeCell ref="A36:C36"/>
    <mergeCell ref="B37:C37"/>
    <mergeCell ref="B38:C38"/>
    <mergeCell ref="B39:C39"/>
    <mergeCell ref="B40:C40"/>
    <mergeCell ref="D28:K28"/>
    <mergeCell ref="K29:K30"/>
    <mergeCell ref="B31:C31"/>
    <mergeCell ref="B32:C32"/>
    <mergeCell ref="B33:C33"/>
    <mergeCell ref="B34:C34"/>
    <mergeCell ref="B23:C23"/>
    <mergeCell ref="B24:C24"/>
    <mergeCell ref="B25:C25"/>
    <mergeCell ref="A26:C26"/>
    <mergeCell ref="A27:C27"/>
    <mergeCell ref="A28:C30"/>
    <mergeCell ref="B17:C17"/>
    <mergeCell ref="B18:C18"/>
    <mergeCell ref="B19:C19"/>
    <mergeCell ref="A20:C20"/>
    <mergeCell ref="A21:C21"/>
    <mergeCell ref="B22:C22"/>
    <mergeCell ref="A10:K10"/>
    <mergeCell ref="A11:K11"/>
    <mergeCell ref="A13:C15"/>
    <mergeCell ref="D13:K13"/>
    <mergeCell ref="K14:K15"/>
    <mergeCell ref="B16:C16"/>
    <mergeCell ref="A8:B8"/>
    <mergeCell ref="C8:F8"/>
    <mergeCell ref="G8:H8"/>
    <mergeCell ref="I8:K8"/>
    <mergeCell ref="A9:B9"/>
    <mergeCell ref="C9:F9"/>
    <mergeCell ref="G9:H9"/>
    <mergeCell ref="I9:K9"/>
    <mergeCell ref="A1:B4"/>
    <mergeCell ref="C1:I4"/>
    <mergeCell ref="A5:K5"/>
    <mergeCell ref="A6:B6"/>
    <mergeCell ref="C6:K6"/>
    <mergeCell ref="A7:B7"/>
    <mergeCell ref="C7:K7"/>
  </mergeCells>
  <dataValidations count="1">
    <dataValidation type="list" allowBlank="1" showInputMessage="1" showErrorMessage="1" sqref="C101:C118" xr:uid="{BF5BAADD-12F9-44D2-9075-AE0AD6D6AB2B}">
      <formula1>$N$101:$N$104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A527-B65D-4BEC-BB9B-234846C3C0E9}">
  <sheetPr>
    <tabColor rgb="FFC00000"/>
    <pageSetUpPr fitToPage="1"/>
  </sheetPr>
  <dimension ref="A1:CN254"/>
  <sheetViews>
    <sheetView showGridLines="0" view="pageBreakPreview" topLeftCell="A115" zoomScale="68" zoomScaleNormal="70" zoomScaleSheetLayoutView="68" workbookViewId="0">
      <selection activeCell="A99" sqref="A99:K120"/>
    </sheetView>
  </sheetViews>
  <sheetFormatPr baseColWidth="10" defaultColWidth="9.140625" defaultRowHeight="12.75" x14ac:dyDescent="0.2"/>
  <cols>
    <col min="1" max="1" width="4.42578125" customWidth="1"/>
    <col min="2" max="2" width="21.140625" customWidth="1"/>
    <col min="3" max="3" width="25.7109375" customWidth="1"/>
    <col min="4" max="10" width="14.7109375" customWidth="1"/>
    <col min="11" max="11" width="15.7109375" customWidth="1"/>
    <col min="16" max="16" width="17.7109375" style="25" bestFit="1" customWidth="1"/>
  </cols>
  <sheetData>
    <row r="1" spans="1:92" x14ac:dyDescent="0.2">
      <c r="A1" s="170"/>
      <c r="B1" s="170"/>
      <c r="C1" s="219" t="s">
        <v>0</v>
      </c>
      <c r="D1" s="219"/>
      <c r="E1" s="219"/>
      <c r="F1" s="219"/>
      <c r="G1" s="219"/>
      <c r="H1" s="219"/>
      <c r="I1" s="219"/>
      <c r="J1" s="16" t="s">
        <v>1</v>
      </c>
      <c r="K1" s="17" t="s">
        <v>2</v>
      </c>
    </row>
    <row r="2" spans="1:92" x14ac:dyDescent="0.2">
      <c r="A2" s="170"/>
      <c r="B2" s="170"/>
      <c r="C2" s="219"/>
      <c r="D2" s="219"/>
      <c r="E2" s="219"/>
      <c r="F2" s="219"/>
      <c r="G2" s="219"/>
      <c r="H2" s="219"/>
      <c r="I2" s="219"/>
      <c r="J2" s="16" t="s">
        <v>3</v>
      </c>
      <c r="K2" s="18" t="s">
        <v>168</v>
      </c>
      <c r="N2" s="25"/>
      <c r="P2"/>
      <c r="Q2" s="25"/>
      <c r="T2" s="25"/>
      <c r="W2" s="25"/>
      <c r="Z2" s="25"/>
      <c r="AC2" s="25"/>
      <c r="AF2" s="25"/>
      <c r="AI2" s="25"/>
      <c r="AL2" s="25"/>
      <c r="AO2" s="25"/>
      <c r="AR2" s="25"/>
      <c r="AU2" s="25"/>
      <c r="AX2" s="25"/>
      <c r="BA2" s="25"/>
      <c r="BD2" s="25"/>
      <c r="BG2" s="25"/>
      <c r="BJ2" s="25"/>
      <c r="BM2" s="25"/>
      <c r="BP2" s="25"/>
      <c r="BS2" s="25"/>
      <c r="BV2" s="25"/>
      <c r="BY2" s="25"/>
      <c r="CB2" s="25"/>
      <c r="CE2" s="25"/>
      <c r="CH2" s="25"/>
      <c r="CK2" s="25"/>
      <c r="CN2" s="25"/>
    </row>
    <row r="3" spans="1:92" x14ac:dyDescent="0.2">
      <c r="A3" s="170"/>
      <c r="B3" s="170"/>
      <c r="C3" s="219"/>
      <c r="D3" s="219"/>
      <c r="E3" s="219"/>
      <c r="F3" s="219"/>
      <c r="G3" s="219"/>
      <c r="H3" s="219"/>
      <c r="I3" s="219"/>
      <c r="J3" s="16" t="s">
        <v>4</v>
      </c>
      <c r="K3" s="19">
        <v>46119</v>
      </c>
      <c r="N3" s="25"/>
      <c r="P3"/>
      <c r="Q3" s="25"/>
      <c r="T3" s="25"/>
      <c r="W3" s="25"/>
      <c r="Z3" s="25"/>
      <c r="AC3" s="25"/>
      <c r="AF3" s="25"/>
      <c r="AI3" s="25"/>
      <c r="AL3" s="25"/>
      <c r="AO3" s="25"/>
      <c r="AR3" s="25"/>
      <c r="AU3" s="25"/>
      <c r="AX3" s="25"/>
      <c r="BA3" s="25"/>
      <c r="BD3" s="25"/>
      <c r="BG3" s="25"/>
      <c r="BJ3" s="25"/>
      <c r="BM3" s="25"/>
      <c r="BP3" s="25"/>
      <c r="BS3" s="25"/>
      <c r="BV3" s="25"/>
      <c r="BY3" s="25"/>
      <c r="CB3" s="25"/>
      <c r="CE3" s="25"/>
      <c r="CH3" s="25"/>
      <c r="CK3" s="25"/>
      <c r="CN3" s="25"/>
    </row>
    <row r="4" spans="1:92" x14ac:dyDescent="0.2">
      <c r="A4" s="170"/>
      <c r="B4" s="170"/>
      <c r="C4" s="219"/>
      <c r="D4" s="219"/>
      <c r="E4" s="219"/>
      <c r="F4" s="219"/>
      <c r="G4" s="219"/>
      <c r="H4" s="219"/>
      <c r="I4" s="219"/>
      <c r="J4" s="16" t="s">
        <v>5</v>
      </c>
      <c r="K4" s="18" t="s">
        <v>6</v>
      </c>
      <c r="N4" s="25"/>
      <c r="P4"/>
      <c r="Q4" s="25"/>
      <c r="T4" s="25"/>
      <c r="W4" s="25"/>
      <c r="Z4" s="25"/>
      <c r="AC4" s="25"/>
      <c r="AF4" s="25"/>
      <c r="AI4" s="25"/>
      <c r="AL4" s="25"/>
      <c r="AO4" s="25"/>
      <c r="AR4" s="25"/>
      <c r="AU4" s="25"/>
      <c r="AX4" s="25"/>
      <c r="BA4" s="25"/>
      <c r="BD4" s="25"/>
      <c r="BG4" s="25"/>
      <c r="BJ4" s="25"/>
      <c r="BM4" s="25"/>
      <c r="BP4" s="25"/>
      <c r="BS4" s="25"/>
      <c r="BV4" s="25"/>
      <c r="BY4" s="25"/>
      <c r="CB4" s="25"/>
      <c r="CE4" s="25"/>
      <c r="CH4" s="25"/>
      <c r="CK4" s="25"/>
      <c r="CN4" s="25"/>
    </row>
    <row r="5" spans="1:92" s="4" customFormat="1" ht="7.1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5"/>
      <c r="M5"/>
      <c r="N5" s="25"/>
      <c r="O5"/>
      <c r="P5"/>
      <c r="Q5" s="25"/>
      <c r="R5"/>
      <c r="S5"/>
      <c r="T5" s="25"/>
      <c r="U5"/>
      <c r="V5"/>
      <c r="W5" s="25"/>
      <c r="X5"/>
      <c r="Y5"/>
      <c r="Z5" s="25"/>
      <c r="AA5"/>
      <c r="AB5"/>
      <c r="AC5" s="25"/>
      <c r="AD5"/>
      <c r="AE5"/>
      <c r="AF5" s="25"/>
      <c r="AG5"/>
      <c r="AH5"/>
      <c r="AI5" s="25"/>
      <c r="AJ5"/>
      <c r="AK5"/>
      <c r="AL5" s="25"/>
      <c r="AM5"/>
      <c r="AN5"/>
      <c r="AO5" s="25"/>
      <c r="AP5"/>
      <c r="AQ5"/>
      <c r="AR5" s="25"/>
      <c r="AS5"/>
      <c r="AT5"/>
      <c r="AU5" s="25"/>
      <c r="AV5"/>
      <c r="AW5"/>
      <c r="AX5" s="25"/>
      <c r="AY5"/>
      <c r="AZ5"/>
      <c r="BA5" s="25"/>
      <c r="BB5"/>
      <c r="BC5"/>
      <c r="BD5" s="25"/>
      <c r="BE5"/>
      <c r="BF5"/>
      <c r="BG5" s="25"/>
      <c r="BH5"/>
      <c r="BI5"/>
      <c r="BJ5" s="25"/>
      <c r="BK5"/>
      <c r="BL5"/>
      <c r="BM5" s="25"/>
      <c r="BN5"/>
      <c r="BO5"/>
      <c r="BP5" s="25"/>
      <c r="BQ5"/>
      <c r="BR5"/>
      <c r="BS5" s="25"/>
      <c r="BT5"/>
      <c r="BU5"/>
      <c r="BV5" s="25"/>
      <c r="BW5"/>
      <c r="BX5"/>
      <c r="BY5" s="25"/>
      <c r="BZ5"/>
      <c r="CA5"/>
      <c r="CB5" s="25"/>
      <c r="CC5"/>
      <c r="CD5"/>
      <c r="CE5" s="25"/>
      <c r="CF5"/>
      <c r="CG5"/>
      <c r="CH5" s="25"/>
      <c r="CI5"/>
      <c r="CJ5"/>
      <c r="CK5" s="25"/>
      <c r="CL5"/>
      <c r="CM5"/>
      <c r="CN5" s="25"/>
    </row>
    <row r="6" spans="1:92" ht="15.95" customHeight="1" x14ac:dyDescent="0.2">
      <c r="A6" s="119" t="s">
        <v>7</v>
      </c>
      <c r="B6" s="119"/>
      <c r="C6" s="131"/>
      <c r="D6" s="131"/>
      <c r="E6" s="131"/>
      <c r="F6" s="131"/>
      <c r="G6" s="131"/>
      <c r="H6" s="131"/>
      <c r="I6" s="131"/>
      <c r="J6" s="131"/>
      <c r="K6" s="13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15.95" customHeight="1" x14ac:dyDescent="0.2">
      <c r="A7" s="119" t="s">
        <v>8</v>
      </c>
      <c r="B7" s="119"/>
      <c r="C7" s="213"/>
      <c r="D7" s="214"/>
      <c r="E7" s="214"/>
      <c r="F7" s="214"/>
      <c r="G7" s="214"/>
      <c r="H7" s="214"/>
      <c r="I7" s="214"/>
      <c r="J7" s="214"/>
      <c r="K7" s="21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15.95" customHeight="1" x14ac:dyDescent="0.2">
      <c r="A8" s="119" t="s">
        <v>9</v>
      </c>
      <c r="B8" s="119"/>
      <c r="C8" s="205"/>
      <c r="D8" s="206"/>
      <c r="E8" s="206"/>
      <c r="F8" s="207"/>
      <c r="G8" s="208" t="s">
        <v>10</v>
      </c>
      <c r="H8" s="209"/>
      <c r="I8" s="210" t="s">
        <v>166</v>
      </c>
      <c r="J8" s="211"/>
      <c r="K8" s="212"/>
      <c r="N8" s="25"/>
      <c r="P8"/>
      <c r="Q8" s="25"/>
      <c r="T8" s="25"/>
      <c r="W8" s="25"/>
      <c r="Z8" s="25"/>
      <c r="AC8" s="25"/>
      <c r="AF8" s="25"/>
      <c r="AI8" s="25"/>
      <c r="AL8" s="25"/>
      <c r="AO8" s="25"/>
      <c r="AR8" s="25"/>
      <c r="AU8" s="25"/>
      <c r="AX8" s="25"/>
      <c r="BA8" s="25"/>
      <c r="BD8" s="25"/>
      <c r="BG8" s="25"/>
      <c r="BJ8" s="25"/>
      <c r="BM8" s="25"/>
      <c r="BP8" s="25"/>
      <c r="BS8" s="25"/>
      <c r="BV8" s="25"/>
      <c r="BY8" s="25"/>
      <c r="CB8" s="25"/>
      <c r="CE8" s="25"/>
      <c r="CH8" s="25"/>
      <c r="CK8" s="25"/>
      <c r="CN8" s="25"/>
    </row>
    <row r="9" spans="1:92" ht="15.95" customHeight="1" x14ac:dyDescent="0.2">
      <c r="A9" s="119" t="s">
        <v>11</v>
      </c>
      <c r="B9" s="119"/>
      <c r="C9" s="213"/>
      <c r="D9" s="214"/>
      <c r="E9" s="214"/>
      <c r="F9" s="215"/>
      <c r="G9" s="208" t="s">
        <v>12</v>
      </c>
      <c r="H9" s="209"/>
      <c r="I9" s="216"/>
      <c r="J9" s="217"/>
      <c r="K9" s="218"/>
      <c r="N9" s="25"/>
      <c r="P9"/>
      <c r="Q9" s="25"/>
      <c r="T9" s="25"/>
      <c r="W9" s="25"/>
      <c r="Z9" s="25"/>
      <c r="AC9" s="25"/>
      <c r="AF9" s="25"/>
      <c r="AI9" s="25"/>
      <c r="AL9" s="25"/>
      <c r="AO9" s="25"/>
      <c r="AR9" s="25"/>
      <c r="AU9" s="25"/>
      <c r="AX9" s="25"/>
      <c r="BA9" s="25"/>
      <c r="BD9" s="25"/>
      <c r="BG9" s="25"/>
      <c r="BJ9" s="25"/>
      <c r="BM9" s="25"/>
      <c r="BP9" s="25"/>
      <c r="BS9" s="25"/>
      <c r="BV9" s="25"/>
      <c r="BY9" s="25"/>
      <c r="CB9" s="25"/>
      <c r="CE9" s="25"/>
      <c r="CH9" s="25"/>
      <c r="CK9" s="25"/>
      <c r="CN9" s="25"/>
    </row>
    <row r="10" spans="1:92" s="4" customFormat="1" ht="7.15" customHeight="1" x14ac:dyDescent="0.2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5"/>
      <c r="M10"/>
      <c r="N10" s="25"/>
      <c r="O10"/>
      <c r="P10"/>
      <c r="Q10" s="25"/>
      <c r="R10"/>
      <c r="S10"/>
      <c r="T10" s="25"/>
      <c r="U10"/>
      <c r="V10"/>
      <c r="W10" s="25"/>
      <c r="X10"/>
      <c r="Y10"/>
      <c r="Z10" s="25"/>
      <c r="AA10"/>
      <c r="AB10"/>
      <c r="AC10" s="25"/>
      <c r="AD10"/>
      <c r="AE10"/>
      <c r="AF10" s="25"/>
      <c r="AG10"/>
      <c r="AH10"/>
      <c r="AI10" s="25"/>
      <c r="AJ10"/>
      <c r="AK10"/>
      <c r="AL10" s="25"/>
      <c r="AM10"/>
      <c r="AN10"/>
      <c r="AO10" s="25"/>
      <c r="AP10"/>
      <c r="AQ10"/>
      <c r="AR10" s="25"/>
      <c r="AS10"/>
      <c r="AT10"/>
      <c r="AU10" s="25"/>
      <c r="AV10"/>
      <c r="AW10"/>
      <c r="AX10" s="25"/>
      <c r="AY10"/>
      <c r="AZ10"/>
      <c r="BA10" s="25"/>
      <c r="BB10"/>
      <c r="BC10"/>
      <c r="BD10" s="25"/>
      <c r="BE10"/>
      <c r="BF10"/>
      <c r="BG10" s="25"/>
      <c r="BH10"/>
      <c r="BI10"/>
      <c r="BJ10" s="25"/>
      <c r="BK10"/>
      <c r="BL10"/>
      <c r="BM10" s="25"/>
      <c r="BN10"/>
      <c r="BO10"/>
      <c r="BP10" s="25"/>
      <c r="BQ10"/>
      <c r="BR10"/>
      <c r="BS10" s="25"/>
      <c r="BT10"/>
      <c r="BU10"/>
      <c r="BV10" s="25"/>
      <c r="BW10"/>
      <c r="BX10"/>
      <c r="BY10" s="25"/>
      <c r="BZ10"/>
      <c r="CA10"/>
      <c r="CB10" s="25"/>
      <c r="CC10"/>
      <c r="CD10"/>
      <c r="CE10" s="25"/>
      <c r="CF10"/>
      <c r="CG10"/>
      <c r="CH10" s="25"/>
      <c r="CI10"/>
      <c r="CJ10"/>
      <c r="CK10" s="25"/>
      <c r="CL10"/>
      <c r="CM10"/>
      <c r="CN10" s="25"/>
    </row>
    <row r="11" spans="1:92" s="5" customFormat="1" ht="27" customHeight="1" x14ac:dyDescent="0.2">
      <c r="A11" s="221" t="s">
        <v>169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3"/>
      <c r="M11"/>
      <c r="N11" s="25"/>
      <c r="O11"/>
      <c r="P11"/>
      <c r="Q11" s="25"/>
      <c r="R11"/>
      <c r="S11"/>
      <c r="T11" s="25"/>
      <c r="U11"/>
      <c r="V11"/>
      <c r="W11" s="25"/>
      <c r="X11"/>
      <c r="Y11"/>
      <c r="Z11" s="25"/>
      <c r="AA11"/>
      <c r="AB11"/>
      <c r="AC11" s="25"/>
      <c r="AD11"/>
      <c r="AE11"/>
      <c r="AF11" s="25"/>
      <c r="AG11"/>
      <c r="AH11"/>
      <c r="AI11" s="25"/>
      <c r="AJ11"/>
      <c r="AK11"/>
      <c r="AL11" s="25"/>
      <c r="AM11"/>
      <c r="AN11"/>
      <c r="AO11" s="25"/>
      <c r="AP11"/>
      <c r="AQ11"/>
      <c r="AR11" s="25"/>
      <c r="AS11"/>
      <c r="AT11"/>
      <c r="AU11" s="25"/>
      <c r="AV11"/>
      <c r="AW11"/>
      <c r="AX11" s="25"/>
      <c r="AY11"/>
      <c r="AZ11"/>
      <c r="BA11" s="25"/>
      <c r="BB11"/>
      <c r="BC11"/>
      <c r="BD11" s="25"/>
      <c r="BE11"/>
      <c r="BF11"/>
      <c r="BG11" s="25"/>
      <c r="BH11"/>
      <c r="BI11"/>
      <c r="BJ11" s="25"/>
      <c r="BK11"/>
      <c r="BL11"/>
      <c r="BM11" s="25"/>
      <c r="BN11"/>
      <c r="BO11"/>
      <c r="BP11" s="25"/>
      <c r="BQ11"/>
      <c r="BR11"/>
      <c r="BS11" s="25"/>
      <c r="BT11"/>
      <c r="BU11"/>
      <c r="BV11" s="25"/>
      <c r="BW11"/>
      <c r="BX11"/>
      <c r="BY11" s="25"/>
      <c r="BZ11"/>
      <c r="CA11"/>
      <c r="CB11" s="25"/>
      <c r="CC11"/>
      <c r="CD11"/>
      <c r="CE11" s="25"/>
      <c r="CF11"/>
      <c r="CG11"/>
      <c r="CH11" s="25"/>
      <c r="CI11"/>
      <c r="CJ11"/>
      <c r="CK11" s="25"/>
      <c r="CL11"/>
      <c r="CM11"/>
      <c r="CN11" s="25"/>
    </row>
    <row r="12" spans="1:92" s="5" customFormat="1" ht="6.75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0" customFormat="1" ht="15" customHeight="1" x14ac:dyDescent="0.2">
      <c r="A13" s="185" t="s">
        <v>13</v>
      </c>
      <c r="B13" s="185"/>
      <c r="C13" s="185"/>
      <c r="D13" s="202" t="s">
        <v>14</v>
      </c>
      <c r="E13" s="203"/>
      <c r="F13" s="203"/>
      <c r="G13" s="203"/>
      <c r="H13" s="203"/>
      <c r="I13" s="203"/>
      <c r="J13" s="203"/>
      <c r="K13" s="20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15" customHeight="1" x14ac:dyDescent="0.2">
      <c r="A14" s="185"/>
      <c r="B14" s="185"/>
      <c r="C14" s="185"/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85" t="s">
        <v>22</v>
      </c>
    </row>
    <row r="15" spans="1:92" s="8" customFormat="1" ht="15" customHeight="1" x14ac:dyDescent="0.2">
      <c r="A15" s="185"/>
      <c r="B15" s="185"/>
      <c r="C15" s="185"/>
      <c r="D15" s="21">
        <f>'SEMANA 03'!J15+1</f>
        <v>46132</v>
      </c>
      <c r="E15" s="21">
        <f t="shared" ref="E15:J15" si="0">D15+1</f>
        <v>46133</v>
      </c>
      <c r="F15" s="21">
        <f t="shared" si="0"/>
        <v>46134</v>
      </c>
      <c r="G15" s="21">
        <f t="shared" si="0"/>
        <v>46135</v>
      </c>
      <c r="H15" s="21">
        <f t="shared" si="0"/>
        <v>46136</v>
      </c>
      <c r="I15" s="21">
        <f t="shared" si="0"/>
        <v>46137</v>
      </c>
      <c r="J15" s="21">
        <f t="shared" si="0"/>
        <v>46138</v>
      </c>
      <c r="K15" s="185"/>
      <c r="P15" s="56"/>
    </row>
    <row r="16" spans="1:92" ht="15" customHeight="1" x14ac:dyDescent="0.2">
      <c r="A16" s="9">
        <v>1</v>
      </c>
      <c r="B16" s="118" t="s">
        <v>23</v>
      </c>
      <c r="C16" s="118"/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0">
        <f>AVERAGE(D16:J16)</f>
        <v>0</v>
      </c>
    </row>
    <row r="17" spans="1:16" ht="15" customHeight="1" x14ac:dyDescent="0.2">
      <c r="A17" s="9">
        <v>2</v>
      </c>
      <c r="B17" s="118" t="s">
        <v>24</v>
      </c>
      <c r="C17" s="118"/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0">
        <f t="shared" ref="K17:K18" si="1">AVERAGE(D17:J17)</f>
        <v>0</v>
      </c>
    </row>
    <row r="18" spans="1:16" ht="15" customHeight="1" x14ac:dyDescent="0.2">
      <c r="A18" s="9">
        <v>3</v>
      </c>
      <c r="B18" s="118" t="s">
        <v>25</v>
      </c>
      <c r="C18" s="118"/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0">
        <f t="shared" si="1"/>
        <v>0</v>
      </c>
    </row>
    <row r="19" spans="1:16" ht="15" customHeight="1" x14ac:dyDescent="0.2">
      <c r="A19" s="9">
        <v>4</v>
      </c>
      <c r="B19" s="118" t="s">
        <v>26</v>
      </c>
      <c r="C19" s="118"/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0">
        <f>AVERAGE(D19:J19)</f>
        <v>0</v>
      </c>
    </row>
    <row r="20" spans="1:16" s="6" customFormat="1" ht="15" customHeight="1" x14ac:dyDescent="0.2">
      <c r="A20" s="127" t="s">
        <v>27</v>
      </c>
      <c r="B20" s="127"/>
      <c r="C20" s="127"/>
      <c r="D20" s="11">
        <f t="shared" ref="D20:G21" si="2">D16+D18</f>
        <v>0</v>
      </c>
      <c r="E20" s="11">
        <f t="shared" si="2"/>
        <v>0</v>
      </c>
      <c r="F20" s="11">
        <f t="shared" si="2"/>
        <v>0</v>
      </c>
      <c r="G20" s="11">
        <f t="shared" si="2"/>
        <v>0</v>
      </c>
      <c r="H20" s="11">
        <f>H16+H18</f>
        <v>0</v>
      </c>
      <c r="I20" s="11">
        <f t="shared" ref="H20:J21" si="3">I16+I18</f>
        <v>0</v>
      </c>
      <c r="J20" s="11">
        <f t="shared" si="3"/>
        <v>0</v>
      </c>
      <c r="K20" s="11">
        <f>K16+K18</f>
        <v>0</v>
      </c>
    </row>
    <row r="21" spans="1:16" s="6" customFormat="1" ht="15" customHeight="1" x14ac:dyDescent="0.2">
      <c r="A21" s="127" t="s">
        <v>28</v>
      </c>
      <c r="B21" s="127"/>
      <c r="C21" s="127"/>
      <c r="D21" s="11">
        <f t="shared" si="2"/>
        <v>0</v>
      </c>
      <c r="E21" s="11">
        <f t="shared" si="2"/>
        <v>0</v>
      </c>
      <c r="F21" s="11">
        <f t="shared" si="2"/>
        <v>0</v>
      </c>
      <c r="G21" s="11">
        <f t="shared" si="2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>K17+K19</f>
        <v>0</v>
      </c>
    </row>
    <row r="22" spans="1:16" ht="15" customHeight="1" x14ac:dyDescent="0.2">
      <c r="A22" s="9">
        <v>5</v>
      </c>
      <c r="B22" s="118" t="s">
        <v>29</v>
      </c>
      <c r="C22" s="118"/>
      <c r="D22" s="26">
        <f t="shared" ref="D22:H25" si="4">D16*8.5</f>
        <v>0</v>
      </c>
      <c r="E22" s="26">
        <f t="shared" si="4"/>
        <v>0</v>
      </c>
      <c r="F22" s="26">
        <f t="shared" si="4"/>
        <v>0</v>
      </c>
      <c r="G22" s="26">
        <f t="shared" si="4"/>
        <v>0</v>
      </c>
      <c r="H22" s="26">
        <f>H16*8.5</f>
        <v>0</v>
      </c>
      <c r="I22" s="26">
        <f>I16*5.5</f>
        <v>0</v>
      </c>
      <c r="J22" s="26">
        <f>J16*5.5</f>
        <v>0</v>
      </c>
      <c r="K22" s="20">
        <f>SUM(D22:J22)</f>
        <v>0</v>
      </c>
    </row>
    <row r="23" spans="1:16" ht="15" customHeight="1" x14ac:dyDescent="0.2">
      <c r="A23" s="9">
        <v>6</v>
      </c>
      <c r="B23" s="118" t="s">
        <v>30</v>
      </c>
      <c r="C23" s="118"/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ref="I23:J25" si="5">I17*5.5</f>
        <v>0</v>
      </c>
      <c r="J23" s="26">
        <f t="shared" si="5"/>
        <v>0</v>
      </c>
      <c r="K23" s="20">
        <f t="shared" ref="K23:K25" si="6">SUM(D23:J23)</f>
        <v>0</v>
      </c>
    </row>
    <row r="24" spans="1:16" ht="15" customHeight="1" x14ac:dyDescent="0.2">
      <c r="A24" s="9">
        <v>7</v>
      </c>
      <c r="B24" s="118" t="s">
        <v>31</v>
      </c>
      <c r="C24" s="118"/>
      <c r="D24" s="26">
        <f t="shared" si="4"/>
        <v>0</v>
      </c>
      <c r="E24" s="26">
        <f t="shared" si="4"/>
        <v>0</v>
      </c>
      <c r="F24" s="26">
        <f>F18*8.5</f>
        <v>0</v>
      </c>
      <c r="G24" s="26">
        <f t="shared" si="4"/>
        <v>0</v>
      </c>
      <c r="H24" s="26">
        <f t="shared" si="4"/>
        <v>0</v>
      </c>
      <c r="I24" s="26">
        <f t="shared" si="5"/>
        <v>0</v>
      </c>
      <c r="J24" s="26">
        <f t="shared" si="5"/>
        <v>0</v>
      </c>
      <c r="K24" s="20">
        <f t="shared" si="6"/>
        <v>0</v>
      </c>
    </row>
    <row r="25" spans="1:16" ht="15" customHeight="1" x14ac:dyDescent="0.2">
      <c r="A25" s="9">
        <v>8</v>
      </c>
      <c r="B25" s="118" t="s">
        <v>32</v>
      </c>
      <c r="C25" s="118"/>
      <c r="D25" s="26">
        <f t="shared" si="4"/>
        <v>0</v>
      </c>
      <c r="E25" s="26">
        <f t="shared" si="4"/>
        <v>0</v>
      </c>
      <c r="F25" s="26">
        <f t="shared" si="4"/>
        <v>0</v>
      </c>
      <c r="G25" s="26">
        <f t="shared" si="4"/>
        <v>0</v>
      </c>
      <c r="H25" s="26">
        <f t="shared" si="4"/>
        <v>0</v>
      </c>
      <c r="I25" s="26">
        <f t="shared" si="5"/>
        <v>0</v>
      </c>
      <c r="J25" s="26">
        <f t="shared" si="5"/>
        <v>0</v>
      </c>
      <c r="K25" s="20">
        <f t="shared" si="6"/>
        <v>0</v>
      </c>
    </row>
    <row r="26" spans="1:16" s="6" customFormat="1" ht="15" customHeight="1" x14ac:dyDescent="0.2">
      <c r="A26" s="127" t="s">
        <v>33</v>
      </c>
      <c r="B26" s="127"/>
      <c r="C26" s="127"/>
      <c r="D26" s="11">
        <f>D22+D24</f>
        <v>0</v>
      </c>
      <c r="E26" s="11">
        <f t="shared" ref="E26:J27" si="7">E22+E24</f>
        <v>0</v>
      </c>
      <c r="F26" s="11">
        <f t="shared" si="7"/>
        <v>0</v>
      </c>
      <c r="G26" s="11">
        <f t="shared" si="7"/>
        <v>0</v>
      </c>
      <c r="H26" s="11">
        <f>H22+H24</f>
        <v>0</v>
      </c>
      <c r="I26" s="11">
        <f t="shared" ref="I26:J26" si="8">I22+I24</f>
        <v>0</v>
      </c>
      <c r="J26" s="11">
        <f t="shared" si="8"/>
        <v>0</v>
      </c>
      <c r="K26" s="11">
        <f>K22+K24</f>
        <v>0</v>
      </c>
    </row>
    <row r="27" spans="1:16" s="6" customFormat="1" ht="15" customHeight="1" x14ac:dyDescent="0.2">
      <c r="A27" s="127" t="s">
        <v>34</v>
      </c>
      <c r="B27" s="127"/>
      <c r="C27" s="127"/>
      <c r="D27" s="11">
        <f>D23+D25</f>
        <v>0</v>
      </c>
      <c r="E27" s="11">
        <f t="shared" si="7"/>
        <v>0</v>
      </c>
      <c r="F27" s="11">
        <f t="shared" si="7"/>
        <v>0</v>
      </c>
      <c r="G27" s="11">
        <f t="shared" si="7"/>
        <v>0</v>
      </c>
      <c r="H27" s="11">
        <f t="shared" si="7"/>
        <v>0</v>
      </c>
      <c r="I27" s="11">
        <f t="shared" si="7"/>
        <v>0</v>
      </c>
      <c r="J27" s="11">
        <f t="shared" si="7"/>
        <v>0</v>
      </c>
      <c r="K27" s="11">
        <f>K23+K25</f>
        <v>0</v>
      </c>
    </row>
    <row r="28" spans="1:16" s="10" customFormat="1" ht="15" customHeight="1" x14ac:dyDescent="0.2">
      <c r="A28" s="185" t="s">
        <v>13</v>
      </c>
      <c r="B28" s="185"/>
      <c r="C28" s="185"/>
      <c r="D28" s="202" t="s">
        <v>35</v>
      </c>
      <c r="E28" s="203"/>
      <c r="F28" s="203"/>
      <c r="G28" s="203"/>
      <c r="H28" s="203"/>
      <c r="I28" s="203"/>
      <c r="J28" s="203"/>
      <c r="K28" s="204"/>
    </row>
    <row r="29" spans="1:16" ht="15" customHeight="1" x14ac:dyDescent="0.2">
      <c r="A29" s="185"/>
      <c r="B29" s="185"/>
      <c r="C29" s="185"/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20</v>
      </c>
      <c r="J29" s="12" t="s">
        <v>21</v>
      </c>
      <c r="K29" s="185" t="s">
        <v>22</v>
      </c>
    </row>
    <row r="30" spans="1:16" s="8" customFormat="1" ht="15" customHeight="1" x14ac:dyDescent="0.2">
      <c r="A30" s="185"/>
      <c r="B30" s="185"/>
      <c r="C30" s="185"/>
      <c r="D30" s="21">
        <f>D15</f>
        <v>46132</v>
      </c>
      <c r="E30" s="21">
        <f t="shared" ref="E30:J30" si="9">E15</f>
        <v>46133</v>
      </c>
      <c r="F30" s="21">
        <f t="shared" si="9"/>
        <v>46134</v>
      </c>
      <c r="G30" s="21">
        <f t="shared" si="9"/>
        <v>46135</v>
      </c>
      <c r="H30" s="21">
        <f t="shared" si="9"/>
        <v>46136</v>
      </c>
      <c r="I30" s="21">
        <f t="shared" si="9"/>
        <v>46137</v>
      </c>
      <c r="J30" s="21">
        <f t="shared" si="9"/>
        <v>46138</v>
      </c>
      <c r="K30" s="185"/>
      <c r="P30" s="56"/>
    </row>
    <row r="31" spans="1:16" ht="15" customHeight="1" x14ac:dyDescent="0.2">
      <c r="A31" s="9">
        <v>9</v>
      </c>
      <c r="B31" s="118" t="s">
        <v>23</v>
      </c>
      <c r="C31" s="118"/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0">
        <f>AVERAGE(D31:J31)</f>
        <v>0</v>
      </c>
    </row>
    <row r="32" spans="1:16" ht="15" customHeight="1" x14ac:dyDescent="0.2">
      <c r="A32" s="9">
        <v>10</v>
      </c>
      <c r="B32" s="118" t="s">
        <v>24</v>
      </c>
      <c r="C32" s="118"/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0">
        <f t="shared" ref="K32:K33" si="10">AVERAGE(D32:J32)</f>
        <v>0</v>
      </c>
    </row>
    <row r="33" spans="1:16" ht="15" customHeight="1" x14ac:dyDescent="0.2">
      <c r="A33" s="9">
        <v>11</v>
      </c>
      <c r="B33" s="118" t="s">
        <v>25</v>
      </c>
      <c r="C33" s="118"/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0">
        <f t="shared" si="10"/>
        <v>0</v>
      </c>
    </row>
    <row r="34" spans="1:16" ht="15" customHeight="1" x14ac:dyDescent="0.2">
      <c r="A34" s="9">
        <v>12</v>
      </c>
      <c r="B34" s="118" t="s">
        <v>26</v>
      </c>
      <c r="C34" s="118"/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0">
        <f>AVERAGE(D34:J34)</f>
        <v>0</v>
      </c>
    </row>
    <row r="35" spans="1:16" s="6" customFormat="1" ht="15" customHeight="1" x14ac:dyDescent="0.2">
      <c r="A35" s="127" t="s">
        <v>27</v>
      </c>
      <c r="B35" s="127"/>
      <c r="C35" s="127"/>
      <c r="D35" s="11">
        <f t="shared" ref="D35:J36" si="11">D31+D33</f>
        <v>0</v>
      </c>
      <c r="E35" s="11">
        <f t="shared" si="11"/>
        <v>0</v>
      </c>
      <c r="F35" s="11">
        <f t="shared" si="11"/>
        <v>0</v>
      </c>
      <c r="G35" s="11">
        <f t="shared" si="11"/>
        <v>0</v>
      </c>
      <c r="H35" s="11">
        <f>H31+H33</f>
        <v>0</v>
      </c>
      <c r="I35" s="11">
        <f t="shared" ref="I35:J35" si="12">I31+I33</f>
        <v>0</v>
      </c>
      <c r="J35" s="11">
        <f t="shared" si="12"/>
        <v>0</v>
      </c>
      <c r="K35" s="11">
        <f>K31+K33</f>
        <v>0</v>
      </c>
    </row>
    <row r="36" spans="1:16" s="6" customFormat="1" ht="15" customHeight="1" x14ac:dyDescent="0.2">
      <c r="A36" s="127" t="s">
        <v>28</v>
      </c>
      <c r="B36" s="127"/>
      <c r="C36" s="127"/>
      <c r="D36" s="11">
        <f t="shared" si="11"/>
        <v>0</v>
      </c>
      <c r="E36" s="11">
        <f t="shared" si="11"/>
        <v>0</v>
      </c>
      <c r="F36" s="11">
        <f t="shared" si="11"/>
        <v>0</v>
      </c>
      <c r="G36" s="11">
        <f t="shared" si="11"/>
        <v>0</v>
      </c>
      <c r="H36" s="11">
        <f t="shared" si="11"/>
        <v>0</v>
      </c>
      <c r="I36" s="11">
        <f t="shared" si="11"/>
        <v>0</v>
      </c>
      <c r="J36" s="11">
        <f t="shared" si="11"/>
        <v>0</v>
      </c>
      <c r="K36" s="11">
        <f>K32+K34</f>
        <v>0</v>
      </c>
    </row>
    <row r="37" spans="1:16" ht="15" customHeight="1" x14ac:dyDescent="0.2">
      <c r="A37" s="9">
        <v>13</v>
      </c>
      <c r="B37" s="118" t="s">
        <v>29</v>
      </c>
      <c r="C37" s="118"/>
      <c r="D37" s="26">
        <f t="shared" ref="D37:H40" si="13">D31*8.5</f>
        <v>0</v>
      </c>
      <c r="E37" s="26">
        <f t="shared" si="13"/>
        <v>0</v>
      </c>
      <c r="F37" s="26">
        <f t="shared" si="13"/>
        <v>0</v>
      </c>
      <c r="G37" s="26">
        <f t="shared" si="13"/>
        <v>0</v>
      </c>
      <c r="H37" s="26">
        <f>H31*8.5</f>
        <v>0</v>
      </c>
      <c r="I37" s="26">
        <f>I31*5.5</f>
        <v>0</v>
      </c>
      <c r="J37" s="26">
        <f>J31*5.5</f>
        <v>0</v>
      </c>
      <c r="K37" s="20">
        <f>SUM(D37:J37)</f>
        <v>0</v>
      </c>
    </row>
    <row r="38" spans="1:16" ht="15" customHeight="1" x14ac:dyDescent="0.2">
      <c r="A38" s="9">
        <v>14</v>
      </c>
      <c r="B38" s="118" t="s">
        <v>30</v>
      </c>
      <c r="C38" s="118"/>
      <c r="D38" s="26">
        <f t="shared" si="13"/>
        <v>0</v>
      </c>
      <c r="E38" s="26">
        <f t="shared" si="13"/>
        <v>0</v>
      </c>
      <c r="F38" s="26">
        <f t="shared" si="13"/>
        <v>0</v>
      </c>
      <c r="G38" s="26">
        <f t="shared" si="13"/>
        <v>0</v>
      </c>
      <c r="H38" s="26">
        <f t="shared" si="13"/>
        <v>0</v>
      </c>
      <c r="I38" s="26">
        <f t="shared" ref="I38:J40" si="14">I32*5.5</f>
        <v>0</v>
      </c>
      <c r="J38" s="26">
        <f t="shared" si="14"/>
        <v>0</v>
      </c>
      <c r="K38" s="20">
        <f t="shared" ref="K38:K40" si="15">SUM(D38:J38)</f>
        <v>0</v>
      </c>
    </row>
    <row r="39" spans="1:16" ht="15" customHeight="1" x14ac:dyDescent="0.2">
      <c r="A39" s="9">
        <v>15</v>
      </c>
      <c r="B39" s="118" t="s">
        <v>31</v>
      </c>
      <c r="C39" s="118"/>
      <c r="D39" s="26">
        <f t="shared" si="13"/>
        <v>0</v>
      </c>
      <c r="E39" s="26">
        <f t="shared" si="13"/>
        <v>0</v>
      </c>
      <c r="F39" s="26">
        <f>F33*8.5</f>
        <v>0</v>
      </c>
      <c r="G39" s="26">
        <f t="shared" si="13"/>
        <v>0</v>
      </c>
      <c r="H39" s="26">
        <f t="shared" si="13"/>
        <v>0</v>
      </c>
      <c r="I39" s="26">
        <f t="shared" si="14"/>
        <v>0</v>
      </c>
      <c r="J39" s="26">
        <f t="shared" si="14"/>
        <v>0</v>
      </c>
      <c r="K39" s="20">
        <f t="shared" si="15"/>
        <v>0</v>
      </c>
    </row>
    <row r="40" spans="1:16" ht="15" customHeight="1" x14ac:dyDescent="0.2">
      <c r="A40" s="9">
        <v>16</v>
      </c>
      <c r="B40" s="118" t="s">
        <v>32</v>
      </c>
      <c r="C40" s="118"/>
      <c r="D40" s="26">
        <f t="shared" si="13"/>
        <v>0</v>
      </c>
      <c r="E40" s="26">
        <f t="shared" si="13"/>
        <v>0</v>
      </c>
      <c r="F40" s="26">
        <f t="shared" si="13"/>
        <v>0</v>
      </c>
      <c r="G40" s="26">
        <f t="shared" si="13"/>
        <v>0</v>
      </c>
      <c r="H40" s="26">
        <f t="shared" si="13"/>
        <v>0</v>
      </c>
      <c r="I40" s="26">
        <f t="shared" si="14"/>
        <v>0</v>
      </c>
      <c r="J40" s="26">
        <f t="shared" si="14"/>
        <v>0</v>
      </c>
      <c r="K40" s="20">
        <f t="shared" si="15"/>
        <v>0</v>
      </c>
    </row>
    <row r="41" spans="1:16" s="6" customFormat="1" ht="15" customHeight="1" x14ac:dyDescent="0.2">
      <c r="A41" s="127" t="s">
        <v>33</v>
      </c>
      <c r="B41" s="127"/>
      <c r="C41" s="127"/>
      <c r="D41" s="11">
        <f>D37+D39</f>
        <v>0</v>
      </c>
      <c r="E41" s="11">
        <f t="shared" ref="E41:J42" si="16">E37+E39</f>
        <v>0</v>
      </c>
      <c r="F41" s="11">
        <f t="shared" si="16"/>
        <v>0</v>
      </c>
      <c r="G41" s="11">
        <f t="shared" si="16"/>
        <v>0</v>
      </c>
      <c r="H41" s="11">
        <f>H37+H39</f>
        <v>0</v>
      </c>
      <c r="I41" s="11">
        <f t="shared" ref="I41:J41" si="17">I37+I39</f>
        <v>0</v>
      </c>
      <c r="J41" s="11">
        <f t="shared" si="17"/>
        <v>0</v>
      </c>
      <c r="K41" s="11">
        <f>K37+K39</f>
        <v>0</v>
      </c>
    </row>
    <row r="42" spans="1:16" s="6" customFormat="1" ht="15" customHeight="1" x14ac:dyDescent="0.2">
      <c r="A42" s="127" t="s">
        <v>34</v>
      </c>
      <c r="B42" s="127"/>
      <c r="C42" s="127"/>
      <c r="D42" s="11">
        <f>D38+D40</f>
        <v>0</v>
      </c>
      <c r="E42" s="11">
        <f t="shared" si="16"/>
        <v>0</v>
      </c>
      <c r="F42" s="11">
        <f t="shared" si="16"/>
        <v>0</v>
      </c>
      <c r="G42" s="11">
        <f t="shared" si="16"/>
        <v>0</v>
      </c>
      <c r="H42" s="11">
        <f t="shared" si="16"/>
        <v>0</v>
      </c>
      <c r="I42" s="11">
        <f t="shared" si="16"/>
        <v>0</v>
      </c>
      <c r="J42" s="11">
        <f t="shared" si="16"/>
        <v>0</v>
      </c>
      <c r="K42" s="11">
        <f>K38+K40</f>
        <v>0</v>
      </c>
    </row>
    <row r="43" spans="1:16" s="10" customFormat="1" ht="15" customHeight="1" x14ac:dyDescent="0.2">
      <c r="A43" s="185" t="s">
        <v>13</v>
      </c>
      <c r="B43" s="185"/>
      <c r="C43" s="185"/>
      <c r="D43" s="202" t="s">
        <v>36</v>
      </c>
      <c r="E43" s="203"/>
      <c r="F43" s="203"/>
      <c r="G43" s="203"/>
      <c r="H43" s="203"/>
      <c r="I43" s="203"/>
      <c r="J43" s="203"/>
      <c r="K43" s="204"/>
    </row>
    <row r="44" spans="1:16" ht="15" customHeight="1" x14ac:dyDescent="0.2">
      <c r="A44" s="185"/>
      <c r="B44" s="185"/>
      <c r="C44" s="185"/>
      <c r="D44" s="12" t="s">
        <v>15</v>
      </c>
      <c r="E44" s="12" t="s">
        <v>16</v>
      </c>
      <c r="F44" s="12" t="s">
        <v>17</v>
      </c>
      <c r="G44" s="12" t="s">
        <v>18</v>
      </c>
      <c r="H44" s="12" t="s">
        <v>19</v>
      </c>
      <c r="I44" s="12" t="s">
        <v>20</v>
      </c>
      <c r="J44" s="12" t="s">
        <v>21</v>
      </c>
      <c r="K44" s="185" t="s">
        <v>22</v>
      </c>
    </row>
    <row r="45" spans="1:16" s="8" customFormat="1" ht="15" customHeight="1" x14ac:dyDescent="0.2">
      <c r="A45" s="185"/>
      <c r="B45" s="185"/>
      <c r="C45" s="185"/>
      <c r="D45" s="21">
        <f>D30</f>
        <v>46132</v>
      </c>
      <c r="E45" s="21">
        <f t="shared" ref="E45:J45" si="18">E30</f>
        <v>46133</v>
      </c>
      <c r="F45" s="21">
        <f t="shared" si="18"/>
        <v>46134</v>
      </c>
      <c r="G45" s="21">
        <f t="shared" si="18"/>
        <v>46135</v>
      </c>
      <c r="H45" s="21">
        <f t="shared" si="18"/>
        <v>46136</v>
      </c>
      <c r="I45" s="21">
        <f t="shared" si="18"/>
        <v>46137</v>
      </c>
      <c r="J45" s="21">
        <f t="shared" si="18"/>
        <v>46138</v>
      </c>
      <c r="K45" s="185"/>
      <c r="P45" s="56"/>
    </row>
    <row r="46" spans="1:16" ht="15" customHeight="1" x14ac:dyDescent="0.2">
      <c r="A46" s="9">
        <v>17</v>
      </c>
      <c r="B46" s="118" t="s">
        <v>23</v>
      </c>
      <c r="C46" s="118"/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0">
        <f>AVERAGE(D46:J46)</f>
        <v>0</v>
      </c>
    </row>
    <row r="47" spans="1:16" ht="15" customHeight="1" x14ac:dyDescent="0.2">
      <c r="A47" s="9">
        <v>18</v>
      </c>
      <c r="B47" s="118" t="s">
        <v>24</v>
      </c>
      <c r="C47" s="118"/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0">
        <f t="shared" ref="K47:K48" si="19">AVERAGE(D47:J47)</f>
        <v>0</v>
      </c>
    </row>
    <row r="48" spans="1:16" ht="15" customHeight="1" x14ac:dyDescent="0.2">
      <c r="A48" s="9">
        <v>19</v>
      </c>
      <c r="B48" s="118" t="s">
        <v>25</v>
      </c>
      <c r="C48" s="118"/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0">
        <f t="shared" si="19"/>
        <v>0</v>
      </c>
    </row>
    <row r="49" spans="1:16" ht="15" customHeight="1" x14ac:dyDescent="0.2">
      <c r="A49" s="9">
        <v>20</v>
      </c>
      <c r="B49" s="118" t="s">
        <v>26</v>
      </c>
      <c r="C49" s="118"/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0">
        <f>AVERAGE(D49:J49)</f>
        <v>0</v>
      </c>
    </row>
    <row r="50" spans="1:16" s="6" customFormat="1" ht="15" customHeight="1" x14ac:dyDescent="0.2">
      <c r="A50" s="127" t="s">
        <v>27</v>
      </c>
      <c r="B50" s="127"/>
      <c r="C50" s="127"/>
      <c r="D50" s="11">
        <f t="shared" ref="D50:J51" si="20">D46+D48</f>
        <v>0</v>
      </c>
      <c r="E50" s="11">
        <f t="shared" si="20"/>
        <v>0</v>
      </c>
      <c r="F50" s="11">
        <f t="shared" si="20"/>
        <v>0</v>
      </c>
      <c r="G50" s="11">
        <f t="shared" si="20"/>
        <v>0</v>
      </c>
      <c r="H50" s="11">
        <f>H46+H48</f>
        <v>0</v>
      </c>
      <c r="I50" s="11">
        <f t="shared" ref="I50:J50" si="21">I46+I48</f>
        <v>0</v>
      </c>
      <c r="J50" s="11">
        <f t="shared" si="21"/>
        <v>0</v>
      </c>
      <c r="K50" s="11">
        <f>K46+K48</f>
        <v>0</v>
      </c>
    </row>
    <row r="51" spans="1:16" s="6" customFormat="1" ht="15" customHeight="1" x14ac:dyDescent="0.2">
      <c r="A51" s="127" t="s">
        <v>28</v>
      </c>
      <c r="B51" s="127"/>
      <c r="C51" s="127"/>
      <c r="D51" s="11">
        <f t="shared" si="20"/>
        <v>0</v>
      </c>
      <c r="E51" s="11">
        <f t="shared" si="20"/>
        <v>0</v>
      </c>
      <c r="F51" s="11">
        <f t="shared" si="20"/>
        <v>0</v>
      </c>
      <c r="G51" s="11">
        <f t="shared" si="20"/>
        <v>0</v>
      </c>
      <c r="H51" s="11">
        <f t="shared" si="20"/>
        <v>0</v>
      </c>
      <c r="I51" s="11">
        <f t="shared" si="20"/>
        <v>0</v>
      </c>
      <c r="J51" s="11">
        <f t="shared" si="20"/>
        <v>0</v>
      </c>
      <c r="K51" s="11">
        <f>K47+K49</f>
        <v>0</v>
      </c>
    </row>
    <row r="52" spans="1:16" ht="15" customHeight="1" x14ac:dyDescent="0.2">
      <c r="A52" s="9">
        <v>21</v>
      </c>
      <c r="B52" s="118" t="s">
        <v>29</v>
      </c>
      <c r="C52" s="118"/>
      <c r="D52" s="26">
        <f t="shared" ref="D52:H55" si="22">D46*8.5</f>
        <v>0</v>
      </c>
      <c r="E52" s="26">
        <f t="shared" si="22"/>
        <v>0</v>
      </c>
      <c r="F52" s="26">
        <f t="shared" si="22"/>
        <v>0</v>
      </c>
      <c r="G52" s="26">
        <f t="shared" si="22"/>
        <v>0</v>
      </c>
      <c r="H52" s="26">
        <f>H46*8.5</f>
        <v>0</v>
      </c>
      <c r="I52" s="26">
        <f>I46*5.5</f>
        <v>0</v>
      </c>
      <c r="J52" s="26">
        <f>J46*5.5</f>
        <v>0</v>
      </c>
      <c r="K52" s="20">
        <f>SUM(D52:J52)</f>
        <v>0</v>
      </c>
    </row>
    <row r="53" spans="1:16" ht="15" customHeight="1" x14ac:dyDescent="0.2">
      <c r="A53" s="9">
        <v>22</v>
      </c>
      <c r="B53" s="118" t="s">
        <v>30</v>
      </c>
      <c r="C53" s="118"/>
      <c r="D53" s="26">
        <f t="shared" si="22"/>
        <v>0</v>
      </c>
      <c r="E53" s="26">
        <f t="shared" si="22"/>
        <v>0</v>
      </c>
      <c r="F53" s="26">
        <f t="shared" si="22"/>
        <v>0</v>
      </c>
      <c r="G53" s="26">
        <f t="shared" si="22"/>
        <v>0</v>
      </c>
      <c r="H53" s="26">
        <f t="shared" si="22"/>
        <v>0</v>
      </c>
      <c r="I53" s="26">
        <f t="shared" ref="I53:J55" si="23">I47*5.5</f>
        <v>0</v>
      </c>
      <c r="J53" s="26">
        <f t="shared" si="23"/>
        <v>0</v>
      </c>
      <c r="K53" s="20">
        <f t="shared" ref="K53:K55" si="24">SUM(D53:J53)</f>
        <v>0</v>
      </c>
    </row>
    <row r="54" spans="1:16" ht="15" customHeight="1" x14ac:dyDescent="0.2">
      <c r="A54" s="9">
        <v>23</v>
      </c>
      <c r="B54" s="118" t="s">
        <v>31</v>
      </c>
      <c r="C54" s="118"/>
      <c r="D54" s="26">
        <f t="shared" si="22"/>
        <v>0</v>
      </c>
      <c r="E54" s="26">
        <f t="shared" si="22"/>
        <v>0</v>
      </c>
      <c r="F54" s="26">
        <f>F48*8.5</f>
        <v>0</v>
      </c>
      <c r="G54" s="26">
        <f t="shared" si="22"/>
        <v>0</v>
      </c>
      <c r="H54" s="26">
        <f t="shared" si="22"/>
        <v>0</v>
      </c>
      <c r="I54" s="26">
        <f t="shared" si="23"/>
        <v>0</v>
      </c>
      <c r="J54" s="26">
        <f t="shared" si="23"/>
        <v>0</v>
      </c>
      <c r="K54" s="20">
        <f t="shared" si="24"/>
        <v>0</v>
      </c>
    </row>
    <row r="55" spans="1:16" ht="15" customHeight="1" x14ac:dyDescent="0.2">
      <c r="A55" s="9">
        <v>24</v>
      </c>
      <c r="B55" s="118" t="s">
        <v>32</v>
      </c>
      <c r="C55" s="118"/>
      <c r="D55" s="26">
        <f t="shared" si="22"/>
        <v>0</v>
      </c>
      <c r="E55" s="26">
        <f t="shared" si="22"/>
        <v>0</v>
      </c>
      <c r="F55" s="26">
        <f t="shared" si="22"/>
        <v>0</v>
      </c>
      <c r="G55" s="26">
        <f t="shared" si="22"/>
        <v>0</v>
      </c>
      <c r="H55" s="26">
        <f t="shared" si="22"/>
        <v>0</v>
      </c>
      <c r="I55" s="26">
        <f t="shared" si="23"/>
        <v>0</v>
      </c>
      <c r="J55" s="26">
        <f t="shared" si="23"/>
        <v>0</v>
      </c>
      <c r="K55" s="20">
        <f t="shared" si="24"/>
        <v>0</v>
      </c>
    </row>
    <row r="56" spans="1:16" s="6" customFormat="1" ht="15" customHeight="1" x14ac:dyDescent="0.2">
      <c r="A56" s="127" t="s">
        <v>33</v>
      </c>
      <c r="B56" s="127"/>
      <c r="C56" s="127"/>
      <c r="D56" s="11">
        <f>D52+D54</f>
        <v>0</v>
      </c>
      <c r="E56" s="11">
        <f t="shared" ref="E56:J57" si="25">E52+E54</f>
        <v>0</v>
      </c>
      <c r="F56" s="11">
        <f t="shared" si="25"/>
        <v>0</v>
      </c>
      <c r="G56" s="11">
        <f t="shared" si="25"/>
        <v>0</v>
      </c>
      <c r="H56" s="11">
        <f>H52+H54</f>
        <v>0</v>
      </c>
      <c r="I56" s="11">
        <f t="shared" ref="I56:J56" si="26">I52+I54</f>
        <v>0</v>
      </c>
      <c r="J56" s="11">
        <f t="shared" si="26"/>
        <v>0</v>
      </c>
      <c r="K56" s="11">
        <f>K52+K54</f>
        <v>0</v>
      </c>
    </row>
    <row r="57" spans="1:16" s="6" customFormat="1" ht="15" customHeight="1" x14ac:dyDescent="0.2">
      <c r="A57" s="127" t="s">
        <v>34</v>
      </c>
      <c r="B57" s="127"/>
      <c r="C57" s="127"/>
      <c r="D57" s="11">
        <f>D53+D55</f>
        <v>0</v>
      </c>
      <c r="E57" s="11">
        <f t="shared" si="25"/>
        <v>0</v>
      </c>
      <c r="F57" s="11">
        <f t="shared" si="25"/>
        <v>0</v>
      </c>
      <c r="G57" s="11">
        <f t="shared" si="25"/>
        <v>0</v>
      </c>
      <c r="H57" s="11">
        <f t="shared" si="25"/>
        <v>0</v>
      </c>
      <c r="I57" s="11">
        <f t="shared" si="25"/>
        <v>0</v>
      </c>
      <c r="J57" s="11">
        <f t="shared" si="25"/>
        <v>0</v>
      </c>
      <c r="K57" s="11">
        <f>K53+K55</f>
        <v>0</v>
      </c>
    </row>
    <row r="58" spans="1:16" s="10" customFormat="1" ht="15" customHeight="1" x14ac:dyDescent="0.2">
      <c r="A58" s="185" t="s">
        <v>13</v>
      </c>
      <c r="B58" s="185"/>
      <c r="C58" s="185"/>
      <c r="D58" s="202" t="s">
        <v>37</v>
      </c>
      <c r="E58" s="203"/>
      <c r="F58" s="203"/>
      <c r="G58" s="203"/>
      <c r="H58" s="203"/>
      <c r="I58" s="203"/>
      <c r="J58" s="203"/>
      <c r="K58" s="204"/>
    </row>
    <row r="59" spans="1:16" ht="15" customHeight="1" x14ac:dyDescent="0.2">
      <c r="A59" s="185"/>
      <c r="B59" s="185"/>
      <c r="C59" s="185"/>
      <c r="D59" s="12" t="s">
        <v>15</v>
      </c>
      <c r="E59" s="12" t="s">
        <v>16</v>
      </c>
      <c r="F59" s="12" t="s">
        <v>17</v>
      </c>
      <c r="G59" s="12" t="s">
        <v>18</v>
      </c>
      <c r="H59" s="12" t="s">
        <v>19</v>
      </c>
      <c r="I59" s="12" t="s">
        <v>20</v>
      </c>
      <c r="J59" s="12" t="s">
        <v>21</v>
      </c>
      <c r="K59" s="185" t="s">
        <v>22</v>
      </c>
    </row>
    <row r="60" spans="1:16" s="8" customFormat="1" ht="15" customHeight="1" x14ac:dyDescent="0.2">
      <c r="A60" s="185"/>
      <c r="B60" s="185"/>
      <c r="C60" s="185"/>
      <c r="D60" s="21">
        <f>D45</f>
        <v>46132</v>
      </c>
      <c r="E60" s="21">
        <f t="shared" ref="E60:J60" si="27">E45</f>
        <v>46133</v>
      </c>
      <c r="F60" s="21">
        <f t="shared" si="27"/>
        <v>46134</v>
      </c>
      <c r="G60" s="21">
        <f t="shared" si="27"/>
        <v>46135</v>
      </c>
      <c r="H60" s="21">
        <f t="shared" si="27"/>
        <v>46136</v>
      </c>
      <c r="I60" s="21">
        <f t="shared" si="27"/>
        <v>46137</v>
      </c>
      <c r="J60" s="21">
        <f t="shared" si="27"/>
        <v>46138</v>
      </c>
      <c r="K60" s="185"/>
      <c r="P60" s="56"/>
    </row>
    <row r="61" spans="1:16" ht="15" customHeight="1" x14ac:dyDescent="0.2">
      <c r="A61" s="9">
        <v>25</v>
      </c>
      <c r="B61" s="118" t="s">
        <v>23</v>
      </c>
      <c r="C61" s="118"/>
      <c r="D61" s="26">
        <f>D16+D31</f>
        <v>0</v>
      </c>
      <c r="E61" s="26">
        <f t="shared" ref="E61:E64" si="28">E16+E31</f>
        <v>0</v>
      </c>
      <c r="F61" s="26">
        <f>F16+F31</f>
        <v>0</v>
      </c>
      <c r="G61" s="26">
        <f>G16+G31</f>
        <v>0</v>
      </c>
      <c r="H61" s="26">
        <f>H16+H31</f>
        <v>0</v>
      </c>
      <c r="I61" s="26">
        <f>I16+I31</f>
        <v>0</v>
      </c>
      <c r="J61" s="26">
        <f t="shared" ref="J61:J64" si="29">J16+J31+J46</f>
        <v>0</v>
      </c>
      <c r="K61" s="20">
        <f>AVERAGE(D61:J61)</f>
        <v>0</v>
      </c>
    </row>
    <row r="62" spans="1:16" ht="15" customHeight="1" x14ac:dyDescent="0.2">
      <c r="A62" s="9">
        <v>26</v>
      </c>
      <c r="B62" s="118" t="s">
        <v>24</v>
      </c>
      <c r="C62" s="118"/>
      <c r="D62" s="26">
        <f>D17+D32</f>
        <v>0</v>
      </c>
      <c r="E62" s="26">
        <f t="shared" si="28"/>
        <v>0</v>
      </c>
      <c r="F62" s="26">
        <f>F17+F32</f>
        <v>0</v>
      </c>
      <c r="G62" s="26">
        <f t="shared" ref="G62:I64" si="30">G17+G32</f>
        <v>0</v>
      </c>
      <c r="H62" s="26">
        <f t="shared" si="30"/>
        <v>0</v>
      </c>
      <c r="I62" s="26">
        <f t="shared" si="30"/>
        <v>0</v>
      </c>
      <c r="J62" s="26">
        <f t="shared" si="29"/>
        <v>0</v>
      </c>
      <c r="K62" s="20">
        <f>AVERAGE(D62:J62)</f>
        <v>0</v>
      </c>
    </row>
    <row r="63" spans="1:16" ht="15" customHeight="1" x14ac:dyDescent="0.2">
      <c r="A63" s="9">
        <v>27</v>
      </c>
      <c r="B63" s="118" t="s">
        <v>25</v>
      </c>
      <c r="C63" s="118"/>
      <c r="D63" s="26">
        <f>D18+D33</f>
        <v>0</v>
      </c>
      <c r="E63" s="26">
        <f t="shared" si="28"/>
        <v>0</v>
      </c>
      <c r="F63" s="26">
        <f>F18+F33</f>
        <v>0</v>
      </c>
      <c r="G63" s="26">
        <f t="shared" si="30"/>
        <v>0</v>
      </c>
      <c r="H63" s="26">
        <f t="shared" si="30"/>
        <v>0</v>
      </c>
      <c r="I63" s="26">
        <f t="shared" si="30"/>
        <v>0</v>
      </c>
      <c r="J63" s="26">
        <f t="shared" si="29"/>
        <v>0</v>
      </c>
      <c r="K63" s="20">
        <f t="shared" ref="K63:K64" si="31">AVERAGE(D63:J63)</f>
        <v>0</v>
      </c>
    </row>
    <row r="64" spans="1:16" ht="15" customHeight="1" x14ac:dyDescent="0.2">
      <c r="A64" s="9">
        <v>28</v>
      </c>
      <c r="B64" s="118" t="s">
        <v>26</v>
      </c>
      <c r="C64" s="118"/>
      <c r="D64" s="26">
        <f>D19+D34</f>
        <v>0</v>
      </c>
      <c r="E64" s="26">
        <f t="shared" si="28"/>
        <v>0</v>
      </c>
      <c r="F64" s="26">
        <f>F19+F34</f>
        <v>0</v>
      </c>
      <c r="G64" s="26">
        <f t="shared" si="30"/>
        <v>0</v>
      </c>
      <c r="H64" s="26">
        <f t="shared" si="30"/>
        <v>0</v>
      </c>
      <c r="I64" s="26">
        <f t="shared" si="30"/>
        <v>0</v>
      </c>
      <c r="J64" s="26">
        <f t="shared" si="29"/>
        <v>0</v>
      </c>
      <c r="K64" s="20">
        <f t="shared" si="31"/>
        <v>0</v>
      </c>
    </row>
    <row r="65" spans="1:11" s="6" customFormat="1" ht="15" customHeight="1" x14ac:dyDescent="0.2">
      <c r="A65" s="127" t="s">
        <v>27</v>
      </c>
      <c r="B65" s="127"/>
      <c r="C65" s="127"/>
      <c r="D65" s="11">
        <f t="shared" ref="D65:K66" si="32">D61+D63</f>
        <v>0</v>
      </c>
      <c r="E65" s="11">
        <f t="shared" si="32"/>
        <v>0</v>
      </c>
      <c r="F65" s="11">
        <f t="shared" si="32"/>
        <v>0</v>
      </c>
      <c r="G65" s="11">
        <f t="shared" si="32"/>
        <v>0</v>
      </c>
      <c r="H65" s="11">
        <f t="shared" si="32"/>
        <v>0</v>
      </c>
      <c r="I65" s="11">
        <f t="shared" si="32"/>
        <v>0</v>
      </c>
      <c r="J65" s="11">
        <f t="shared" si="32"/>
        <v>0</v>
      </c>
      <c r="K65" s="11">
        <f t="shared" si="32"/>
        <v>0</v>
      </c>
    </row>
    <row r="66" spans="1:11" s="6" customFormat="1" ht="15" customHeight="1" x14ac:dyDescent="0.2">
      <c r="A66" s="127" t="s">
        <v>28</v>
      </c>
      <c r="B66" s="127"/>
      <c r="C66" s="127"/>
      <c r="D66" s="11">
        <f t="shared" si="32"/>
        <v>0</v>
      </c>
      <c r="E66" s="11">
        <f t="shared" si="32"/>
        <v>0</v>
      </c>
      <c r="F66" s="11">
        <f t="shared" si="32"/>
        <v>0</v>
      </c>
      <c r="G66" s="11">
        <f t="shared" si="32"/>
        <v>0</v>
      </c>
      <c r="H66" s="11">
        <f t="shared" si="32"/>
        <v>0</v>
      </c>
      <c r="I66" s="11">
        <f t="shared" si="32"/>
        <v>0</v>
      </c>
      <c r="J66" s="11">
        <f t="shared" si="32"/>
        <v>0</v>
      </c>
      <c r="K66" s="11">
        <f>K62+K64</f>
        <v>0</v>
      </c>
    </row>
    <row r="67" spans="1:11" ht="15" customHeight="1" x14ac:dyDescent="0.2">
      <c r="A67" s="9">
        <v>29</v>
      </c>
      <c r="B67" s="118" t="s">
        <v>29</v>
      </c>
      <c r="C67" s="118"/>
      <c r="D67" s="26">
        <f>D22+D37+D52</f>
        <v>0</v>
      </c>
      <c r="E67" s="26">
        <f t="shared" ref="E67:J70" si="33">E22+E37+E52</f>
        <v>0</v>
      </c>
      <c r="F67" s="26">
        <f t="shared" si="33"/>
        <v>0</v>
      </c>
      <c r="G67" s="26">
        <f t="shared" si="33"/>
        <v>0</v>
      </c>
      <c r="H67" s="26">
        <f t="shared" si="33"/>
        <v>0</v>
      </c>
      <c r="I67" s="26">
        <f t="shared" si="33"/>
        <v>0</v>
      </c>
      <c r="J67" s="26">
        <f t="shared" si="33"/>
        <v>0</v>
      </c>
      <c r="K67" s="20">
        <f>SUM(D67:J67)</f>
        <v>0</v>
      </c>
    </row>
    <row r="68" spans="1:11" ht="15" customHeight="1" x14ac:dyDescent="0.2">
      <c r="A68" s="9">
        <v>30</v>
      </c>
      <c r="B68" s="118" t="s">
        <v>30</v>
      </c>
      <c r="C68" s="118"/>
      <c r="D68" s="26">
        <f>D23+D38+D53</f>
        <v>0</v>
      </c>
      <c r="E68" s="26">
        <f t="shared" si="33"/>
        <v>0</v>
      </c>
      <c r="F68" s="26">
        <f t="shared" si="33"/>
        <v>0</v>
      </c>
      <c r="G68" s="26">
        <f t="shared" si="33"/>
        <v>0</v>
      </c>
      <c r="H68" s="26">
        <f t="shared" si="33"/>
        <v>0</v>
      </c>
      <c r="I68" s="26">
        <f t="shared" si="33"/>
        <v>0</v>
      </c>
      <c r="J68" s="26">
        <f t="shared" si="33"/>
        <v>0</v>
      </c>
      <c r="K68" s="20">
        <f>SUM(D68:J68)</f>
        <v>0</v>
      </c>
    </row>
    <row r="69" spans="1:11" ht="15" customHeight="1" x14ac:dyDescent="0.2">
      <c r="A69" s="9">
        <v>31</v>
      </c>
      <c r="B69" s="118" t="s">
        <v>31</v>
      </c>
      <c r="C69" s="118"/>
      <c r="D69" s="26">
        <f>D24+D39+D54</f>
        <v>0</v>
      </c>
      <c r="E69" s="26">
        <f t="shared" si="33"/>
        <v>0</v>
      </c>
      <c r="F69" s="26">
        <f t="shared" si="33"/>
        <v>0</v>
      </c>
      <c r="G69" s="26">
        <f t="shared" si="33"/>
        <v>0</v>
      </c>
      <c r="H69" s="26">
        <f t="shared" si="33"/>
        <v>0</v>
      </c>
      <c r="I69" s="26">
        <f t="shared" si="33"/>
        <v>0</v>
      </c>
      <c r="J69" s="26">
        <f t="shared" si="33"/>
        <v>0</v>
      </c>
      <c r="K69" s="20">
        <f>SUM(D69:J69)</f>
        <v>0</v>
      </c>
    </row>
    <row r="70" spans="1:11" ht="15" customHeight="1" x14ac:dyDescent="0.2">
      <c r="A70" s="9">
        <v>32</v>
      </c>
      <c r="B70" s="118" t="s">
        <v>32</v>
      </c>
      <c r="C70" s="118"/>
      <c r="D70" s="26">
        <f>D25+D40+D55</f>
        <v>0</v>
      </c>
      <c r="E70" s="26">
        <f t="shared" si="33"/>
        <v>0</v>
      </c>
      <c r="F70" s="26">
        <f t="shared" si="33"/>
        <v>0</v>
      </c>
      <c r="G70" s="26">
        <f t="shared" si="33"/>
        <v>0</v>
      </c>
      <c r="H70" s="26">
        <f t="shared" si="33"/>
        <v>0</v>
      </c>
      <c r="I70" s="26">
        <f t="shared" si="33"/>
        <v>0</v>
      </c>
      <c r="J70" s="26">
        <f t="shared" si="33"/>
        <v>0</v>
      </c>
      <c r="K70" s="20">
        <f>SUM(D70:J70)</f>
        <v>0</v>
      </c>
    </row>
    <row r="71" spans="1:11" s="6" customFormat="1" ht="15" customHeight="1" x14ac:dyDescent="0.2">
      <c r="A71" s="127" t="s">
        <v>33</v>
      </c>
      <c r="B71" s="127"/>
      <c r="C71" s="127"/>
      <c r="D71" s="11">
        <f>D67+D69</f>
        <v>0</v>
      </c>
      <c r="E71" s="11">
        <f t="shared" ref="E71:H72" si="34">E67+E69</f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>I67+I69</f>
        <v>0</v>
      </c>
      <c r="J71" s="11">
        <f t="shared" ref="J71:K72" si="35">J67+J69</f>
        <v>0</v>
      </c>
      <c r="K71" s="11">
        <f t="shared" si="35"/>
        <v>0</v>
      </c>
    </row>
    <row r="72" spans="1:11" s="6" customFormat="1" ht="15" customHeight="1" x14ac:dyDescent="0.2">
      <c r="A72" s="127" t="s">
        <v>34</v>
      </c>
      <c r="B72" s="127"/>
      <c r="C72" s="127"/>
      <c r="D72" s="11">
        <f>D68+D70</f>
        <v>0</v>
      </c>
      <c r="E72" s="11">
        <f t="shared" si="34"/>
        <v>0</v>
      </c>
      <c r="F72" s="11">
        <f t="shared" si="34"/>
        <v>0</v>
      </c>
      <c r="G72" s="11">
        <f t="shared" si="34"/>
        <v>0</v>
      </c>
      <c r="H72" s="11">
        <f t="shared" si="34"/>
        <v>0</v>
      </c>
      <c r="I72" s="11">
        <f>I68+I70</f>
        <v>0</v>
      </c>
      <c r="J72" s="11">
        <f t="shared" si="35"/>
        <v>0</v>
      </c>
      <c r="K72" s="11">
        <f>K68+K70</f>
        <v>0</v>
      </c>
    </row>
    <row r="73" spans="1:11" ht="45.75" customHeight="1" x14ac:dyDescent="0.2">
      <c r="A73" s="94"/>
      <c r="B73" s="95"/>
      <c r="C73" s="95"/>
      <c r="D73" s="95"/>
      <c r="E73" s="95"/>
      <c r="F73" s="95"/>
      <c r="G73" s="95"/>
      <c r="H73" s="95"/>
      <c r="I73" s="95"/>
      <c r="J73" s="95"/>
      <c r="K73" s="96"/>
    </row>
    <row r="74" spans="1:11" ht="70.5" customHeight="1" x14ac:dyDescent="0.2">
      <c r="A74" s="97"/>
      <c r="B74" s="98"/>
      <c r="C74" s="98"/>
      <c r="D74" s="98"/>
      <c r="E74" s="98"/>
      <c r="F74" s="98"/>
      <c r="G74" s="98"/>
      <c r="H74" s="98"/>
      <c r="I74" s="98"/>
      <c r="J74" s="98"/>
      <c r="K74" s="99"/>
    </row>
    <row r="75" spans="1:11" ht="78" customHeight="1" x14ac:dyDescent="0.2">
      <c r="A75" s="97"/>
      <c r="B75" s="98"/>
      <c r="C75" s="98"/>
      <c r="D75" s="98"/>
      <c r="E75" s="98"/>
      <c r="F75" s="98"/>
      <c r="G75" s="98"/>
      <c r="H75" s="98"/>
      <c r="I75" s="98"/>
      <c r="J75" s="98"/>
      <c r="K75" s="99"/>
    </row>
    <row r="76" spans="1:11" ht="87.75" customHeight="1" x14ac:dyDescent="0.2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9"/>
    </row>
    <row r="77" spans="1:11" ht="70.5" customHeight="1" x14ac:dyDescent="0.2">
      <c r="A77" s="97"/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ht="45.75" customHeight="1" x14ac:dyDescent="0.2">
      <c r="A78" s="98"/>
      <c r="B78" s="245" t="s">
        <v>174</v>
      </c>
      <c r="C78" s="245"/>
      <c r="D78" s="98"/>
      <c r="E78" s="98"/>
      <c r="F78" s="98"/>
      <c r="G78" s="98"/>
      <c r="H78" s="98"/>
      <c r="I78" s="98"/>
      <c r="J78" s="98"/>
      <c r="K78" s="98"/>
    </row>
    <row r="79" spans="1:11" ht="44.25" customHeight="1" x14ac:dyDescent="0.2">
      <c r="A79" s="98"/>
      <c r="B79" s="74" t="s">
        <v>170</v>
      </c>
      <c r="C79" s="75">
        <f>K26+K27</f>
        <v>0</v>
      </c>
      <c r="D79" s="98"/>
      <c r="E79" s="98"/>
      <c r="F79" s="98"/>
      <c r="G79" s="98"/>
      <c r="H79" s="98"/>
      <c r="I79" s="98"/>
      <c r="J79" s="98"/>
      <c r="K79" s="98"/>
    </row>
    <row r="80" spans="1:11" ht="37.5" customHeight="1" x14ac:dyDescent="0.2">
      <c r="A80" s="98"/>
      <c r="B80" s="74" t="s">
        <v>172</v>
      </c>
      <c r="C80" s="75">
        <f>K41+K42</f>
        <v>0</v>
      </c>
      <c r="D80" s="98"/>
      <c r="E80" s="98"/>
      <c r="F80" s="98"/>
      <c r="G80" s="98"/>
      <c r="H80" s="98"/>
      <c r="I80" s="98"/>
      <c r="J80" s="98"/>
      <c r="K80" s="98"/>
    </row>
    <row r="81" spans="1:16" ht="39" customHeight="1" x14ac:dyDescent="0.2">
      <c r="A81" s="98"/>
      <c r="B81" s="74" t="s">
        <v>36</v>
      </c>
      <c r="C81" s="75">
        <f>K56+K57</f>
        <v>0</v>
      </c>
      <c r="D81" s="98"/>
      <c r="E81" s="98"/>
      <c r="F81" s="98"/>
      <c r="G81" s="98"/>
      <c r="H81" s="98"/>
      <c r="I81" s="98"/>
      <c r="J81" s="98"/>
      <c r="K81" s="98"/>
    </row>
    <row r="82" spans="1:16" ht="33" customHeight="1" x14ac:dyDescent="0.2">
      <c r="A82" s="98"/>
      <c r="B82" s="76" t="s">
        <v>173</v>
      </c>
      <c r="C82" s="73">
        <f>SUM(C79:C81)</f>
        <v>0</v>
      </c>
      <c r="D82" s="98"/>
      <c r="E82" s="98"/>
      <c r="F82" s="98"/>
      <c r="G82" s="98"/>
      <c r="H82" s="98"/>
      <c r="I82" s="98"/>
      <c r="J82" s="98"/>
      <c r="K82" s="98"/>
    </row>
    <row r="83" spans="1:16" ht="26.25" customHeight="1" x14ac:dyDescent="0.2">
      <c r="A83" s="246"/>
      <c r="B83" s="134"/>
      <c r="C83" s="134"/>
      <c r="D83" s="247"/>
      <c r="E83" s="247"/>
      <c r="F83" s="247"/>
      <c r="G83" s="247"/>
      <c r="H83" s="247"/>
      <c r="I83" s="247"/>
      <c r="J83" s="247"/>
      <c r="K83" s="248"/>
    </row>
    <row r="84" spans="1:16" s="10" customFormat="1" ht="15" customHeight="1" x14ac:dyDescent="0.2">
      <c r="A84" s="185" t="s">
        <v>38</v>
      </c>
      <c r="B84" s="185"/>
      <c r="C84" s="185"/>
      <c r="D84" s="202" t="s">
        <v>39</v>
      </c>
      <c r="E84" s="203"/>
      <c r="F84" s="203"/>
      <c r="G84" s="203"/>
      <c r="H84" s="203"/>
      <c r="I84" s="203"/>
      <c r="J84" s="203"/>
      <c r="K84" s="204"/>
    </row>
    <row r="85" spans="1:16" ht="15" customHeight="1" x14ac:dyDescent="0.2">
      <c r="A85" s="185"/>
      <c r="B85" s="185"/>
      <c r="C85" s="185"/>
      <c r="D85" s="12" t="s">
        <v>15</v>
      </c>
      <c r="E85" s="12" t="s">
        <v>16</v>
      </c>
      <c r="F85" s="12" t="s">
        <v>17</v>
      </c>
      <c r="G85" s="12" t="s">
        <v>18</v>
      </c>
      <c r="H85" s="12" t="s">
        <v>19</v>
      </c>
      <c r="I85" s="12" t="s">
        <v>20</v>
      </c>
      <c r="J85" s="12" t="s">
        <v>21</v>
      </c>
      <c r="K85" s="185" t="s">
        <v>22</v>
      </c>
    </row>
    <row r="86" spans="1:16" s="8" customFormat="1" ht="15" customHeight="1" x14ac:dyDescent="0.2">
      <c r="A86" s="185"/>
      <c r="B86" s="185"/>
      <c r="C86" s="185"/>
      <c r="D86" s="21">
        <f>D60</f>
        <v>46132</v>
      </c>
      <c r="E86" s="21">
        <f t="shared" ref="E86:J86" si="36">E60</f>
        <v>46133</v>
      </c>
      <c r="F86" s="21">
        <f t="shared" si="36"/>
        <v>46134</v>
      </c>
      <c r="G86" s="21">
        <f t="shared" si="36"/>
        <v>46135</v>
      </c>
      <c r="H86" s="21">
        <f t="shared" si="36"/>
        <v>46136</v>
      </c>
      <c r="I86" s="21">
        <f t="shared" si="36"/>
        <v>46137</v>
      </c>
      <c r="J86" s="21">
        <f t="shared" si="36"/>
        <v>46138</v>
      </c>
      <c r="K86" s="185"/>
      <c r="P86" s="56"/>
    </row>
    <row r="87" spans="1:16" ht="15" customHeight="1" x14ac:dyDescent="0.2">
      <c r="A87" s="9">
        <v>1</v>
      </c>
      <c r="B87" s="118"/>
      <c r="C87" s="118"/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0">
        <f>AVERAGE(D87:J87)</f>
        <v>0</v>
      </c>
    </row>
    <row r="88" spans="1:16" ht="15" customHeight="1" x14ac:dyDescent="0.2">
      <c r="A88" s="9">
        <v>2</v>
      </c>
      <c r="B88" s="118"/>
      <c r="C88" s="118"/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0">
        <f>AVERAGE(D88:J88)</f>
        <v>0</v>
      </c>
    </row>
    <row r="89" spans="1:16" ht="15" customHeight="1" x14ac:dyDescent="0.2">
      <c r="A89" s="9">
        <v>3</v>
      </c>
      <c r="B89" s="118"/>
      <c r="C89" s="118"/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0">
        <f t="shared" ref="K89:K94" si="37">AVERAGE(D89:J89)</f>
        <v>0</v>
      </c>
    </row>
    <row r="90" spans="1:16" ht="15" customHeight="1" x14ac:dyDescent="0.2">
      <c r="A90" s="9">
        <v>4</v>
      </c>
      <c r="B90" s="118"/>
      <c r="C90" s="118"/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0">
        <f t="shared" si="37"/>
        <v>0</v>
      </c>
    </row>
    <row r="91" spans="1:16" ht="15" customHeight="1" x14ac:dyDescent="0.2">
      <c r="A91" s="9">
        <v>5</v>
      </c>
      <c r="B91" s="118"/>
      <c r="C91" s="118"/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0">
        <f t="shared" si="37"/>
        <v>0</v>
      </c>
    </row>
    <row r="92" spans="1:16" ht="15" customHeight="1" x14ac:dyDescent="0.2">
      <c r="A92" s="9">
        <v>6</v>
      </c>
      <c r="B92" s="118"/>
      <c r="C92" s="118"/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0">
        <f t="shared" si="37"/>
        <v>0</v>
      </c>
    </row>
    <row r="93" spans="1:16" ht="15" customHeight="1" x14ac:dyDescent="0.2">
      <c r="A93" s="9">
        <v>7</v>
      </c>
      <c r="B93" s="118"/>
      <c r="C93" s="118"/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0">
        <f t="shared" si="37"/>
        <v>0</v>
      </c>
    </row>
    <row r="94" spans="1:16" ht="15" customHeight="1" x14ac:dyDescent="0.2">
      <c r="A94" s="9">
        <v>8</v>
      </c>
      <c r="B94" s="118"/>
      <c r="C94" s="118"/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0">
        <f t="shared" si="37"/>
        <v>0</v>
      </c>
    </row>
    <row r="95" spans="1:16" s="6" customFormat="1" ht="15" customHeight="1" x14ac:dyDescent="0.2">
      <c r="A95" s="127" t="s">
        <v>40</v>
      </c>
      <c r="B95" s="127"/>
      <c r="C95" s="127"/>
      <c r="D95" s="11">
        <f>SUM(D87:D94)</f>
        <v>0</v>
      </c>
      <c r="E95" s="11">
        <f t="shared" ref="E95:K95" si="38">SUM(E87:E94)</f>
        <v>0</v>
      </c>
      <c r="F95" s="11">
        <f t="shared" si="38"/>
        <v>0</v>
      </c>
      <c r="G95" s="11">
        <f t="shared" si="38"/>
        <v>0</v>
      </c>
      <c r="H95" s="11">
        <f t="shared" si="38"/>
        <v>0</v>
      </c>
      <c r="I95" s="11">
        <f t="shared" si="38"/>
        <v>0</v>
      </c>
      <c r="J95" s="11">
        <f t="shared" si="38"/>
        <v>0</v>
      </c>
      <c r="K95" s="11">
        <f t="shared" si="38"/>
        <v>0</v>
      </c>
    </row>
    <row r="96" spans="1:16" ht="12.95" customHeight="1" x14ac:dyDescent="0.2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</row>
    <row r="97" spans="1:14" s="72" customFormat="1" ht="27" customHeight="1" x14ac:dyDescent="0.2">
      <c r="A97" s="221" t="s">
        <v>175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3"/>
    </row>
    <row r="98" spans="1:14" s="72" customFormat="1" ht="6" customHeight="1" x14ac:dyDescent="0.2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 spans="1:14" s="77" customFormat="1" ht="22.5" customHeight="1" x14ac:dyDescent="0.2">
      <c r="A99" s="227" t="s">
        <v>176</v>
      </c>
      <c r="B99" s="228"/>
      <c r="C99" s="228"/>
      <c r="D99" s="228"/>
      <c r="E99" s="228"/>
      <c r="F99" s="228"/>
      <c r="G99" s="228"/>
      <c r="H99" s="228"/>
      <c r="I99" s="228"/>
      <c r="J99" s="228"/>
      <c r="K99" s="229"/>
    </row>
    <row r="100" spans="1:14" s="72" customFormat="1" ht="33" customHeight="1" x14ac:dyDescent="0.2">
      <c r="A100" s="249" t="s">
        <v>42</v>
      </c>
      <c r="B100" s="250"/>
      <c r="C100" s="103" t="s">
        <v>177</v>
      </c>
      <c r="D100" s="252" t="s">
        <v>81</v>
      </c>
      <c r="E100" s="253"/>
      <c r="F100" s="254"/>
      <c r="G100" s="102" t="s">
        <v>195</v>
      </c>
      <c r="H100" s="102" t="s">
        <v>196</v>
      </c>
      <c r="I100" s="101" t="s">
        <v>82</v>
      </c>
      <c r="J100" s="101" t="s">
        <v>83</v>
      </c>
      <c r="K100" s="101" t="s">
        <v>84</v>
      </c>
    </row>
    <row r="101" spans="1:14" s="72" customFormat="1" ht="28.5" customHeight="1" x14ac:dyDescent="0.2">
      <c r="A101" s="244"/>
      <c r="B101" s="244"/>
      <c r="C101" s="281"/>
      <c r="D101" s="278"/>
      <c r="E101" s="279"/>
      <c r="F101" s="280"/>
      <c r="G101" s="282"/>
      <c r="H101" s="276"/>
      <c r="I101" s="276"/>
      <c r="J101" s="78">
        <f>G101*I101</f>
        <v>0</v>
      </c>
      <c r="K101" s="78">
        <f>H101*I101</f>
        <v>0</v>
      </c>
      <c r="N101" s="105" t="s">
        <v>178</v>
      </c>
    </row>
    <row r="102" spans="1:14" s="72" customFormat="1" ht="32.25" customHeight="1" x14ac:dyDescent="0.2">
      <c r="A102" s="244"/>
      <c r="B102" s="244"/>
      <c r="C102" s="281"/>
      <c r="D102" s="278"/>
      <c r="E102" s="279"/>
      <c r="F102" s="280"/>
      <c r="G102" s="282"/>
      <c r="H102" s="276"/>
      <c r="I102" s="276"/>
      <c r="J102" s="78">
        <f>G102*I102</f>
        <v>0</v>
      </c>
      <c r="K102" s="78">
        <f>H102*I102</f>
        <v>0</v>
      </c>
      <c r="N102" s="105" t="s">
        <v>179</v>
      </c>
    </row>
    <row r="103" spans="1:14" s="72" customFormat="1" ht="30.75" customHeight="1" x14ac:dyDescent="0.2">
      <c r="A103" s="244"/>
      <c r="B103" s="244"/>
      <c r="C103" s="281"/>
      <c r="D103" s="278"/>
      <c r="E103" s="279"/>
      <c r="F103" s="280"/>
      <c r="G103" s="282"/>
      <c r="H103" s="276"/>
      <c r="I103" s="276"/>
      <c r="J103" s="78">
        <f t="shared" ref="J103:J119" si="39">G103*I103</f>
        <v>0</v>
      </c>
      <c r="K103" s="78">
        <f t="shared" ref="K103:K119" si="40">H103*I103</f>
        <v>0</v>
      </c>
      <c r="N103" s="105" t="s">
        <v>197</v>
      </c>
    </row>
    <row r="104" spans="1:14" s="72" customFormat="1" ht="30.75" customHeight="1" x14ac:dyDescent="0.2">
      <c r="A104" s="244"/>
      <c r="B104" s="244"/>
      <c r="C104" s="281"/>
      <c r="D104" s="278"/>
      <c r="E104" s="279"/>
      <c r="F104" s="280"/>
      <c r="G104" s="282"/>
      <c r="H104" s="276"/>
      <c r="I104" s="276"/>
      <c r="J104" s="78">
        <f t="shared" si="39"/>
        <v>0</v>
      </c>
      <c r="K104" s="78">
        <f t="shared" si="40"/>
        <v>0</v>
      </c>
      <c r="N104" s="105"/>
    </row>
    <row r="105" spans="1:14" s="72" customFormat="1" ht="30.75" customHeight="1" x14ac:dyDescent="0.2">
      <c r="A105" s="244"/>
      <c r="B105" s="244"/>
      <c r="C105" s="281"/>
      <c r="D105" s="278"/>
      <c r="E105" s="279"/>
      <c r="F105" s="280"/>
      <c r="G105" s="282"/>
      <c r="H105" s="276"/>
      <c r="I105" s="276"/>
      <c r="J105" s="78">
        <f t="shared" si="39"/>
        <v>0</v>
      </c>
      <c r="K105" s="78">
        <f t="shared" si="40"/>
        <v>0</v>
      </c>
      <c r="N105" s="105"/>
    </row>
    <row r="106" spans="1:14" s="72" customFormat="1" ht="30.75" customHeight="1" x14ac:dyDescent="0.2">
      <c r="A106" s="244"/>
      <c r="B106" s="244"/>
      <c r="C106" s="281"/>
      <c r="D106" s="278"/>
      <c r="E106" s="279"/>
      <c r="F106" s="280"/>
      <c r="G106" s="282"/>
      <c r="H106" s="276"/>
      <c r="I106" s="276"/>
      <c r="J106" s="78">
        <f t="shared" si="39"/>
        <v>0</v>
      </c>
      <c r="K106" s="78">
        <f t="shared" si="40"/>
        <v>0</v>
      </c>
      <c r="N106" s="105"/>
    </row>
    <row r="107" spans="1:14" s="72" customFormat="1" ht="30.75" customHeight="1" x14ac:dyDescent="0.2">
      <c r="A107" s="244"/>
      <c r="B107" s="244"/>
      <c r="C107" s="281"/>
      <c r="D107" s="278"/>
      <c r="E107" s="279"/>
      <c r="F107" s="280"/>
      <c r="G107" s="282"/>
      <c r="H107" s="276"/>
      <c r="I107" s="276"/>
      <c r="J107" s="78">
        <f t="shared" si="39"/>
        <v>0</v>
      </c>
      <c r="K107" s="78">
        <f t="shared" si="40"/>
        <v>0</v>
      </c>
      <c r="N107" s="105"/>
    </row>
    <row r="108" spans="1:14" s="72" customFormat="1" ht="30.75" customHeight="1" x14ac:dyDescent="0.2">
      <c r="A108" s="244"/>
      <c r="B108" s="244"/>
      <c r="C108" s="281"/>
      <c r="D108" s="278"/>
      <c r="E108" s="279"/>
      <c r="F108" s="280"/>
      <c r="G108" s="282"/>
      <c r="H108" s="276"/>
      <c r="I108" s="276"/>
      <c r="J108" s="78">
        <f t="shared" si="39"/>
        <v>0</v>
      </c>
      <c r="K108" s="78">
        <f t="shared" si="40"/>
        <v>0</v>
      </c>
      <c r="N108" s="105"/>
    </row>
    <row r="109" spans="1:14" s="72" customFormat="1" ht="30" customHeight="1" x14ac:dyDescent="0.2">
      <c r="A109" s="244"/>
      <c r="B109" s="244"/>
      <c r="C109" s="281"/>
      <c r="D109" s="278"/>
      <c r="E109" s="279"/>
      <c r="F109" s="280"/>
      <c r="G109" s="282"/>
      <c r="H109" s="276"/>
      <c r="I109" s="276"/>
      <c r="J109" s="78">
        <f t="shared" si="39"/>
        <v>0</v>
      </c>
      <c r="K109" s="78">
        <f t="shared" si="40"/>
        <v>0</v>
      </c>
      <c r="N109" s="105" t="s">
        <v>180</v>
      </c>
    </row>
    <row r="110" spans="1:14" s="72" customFormat="1" ht="31.5" customHeight="1" x14ac:dyDescent="0.2">
      <c r="A110" s="244"/>
      <c r="B110" s="244"/>
      <c r="C110" s="281"/>
      <c r="D110" s="278"/>
      <c r="E110" s="279"/>
      <c r="F110" s="280"/>
      <c r="G110" s="282"/>
      <c r="H110" s="276"/>
      <c r="I110" s="276"/>
      <c r="J110" s="78">
        <f t="shared" si="39"/>
        <v>0</v>
      </c>
      <c r="K110" s="78">
        <f t="shared" si="40"/>
        <v>0</v>
      </c>
      <c r="N110" s="106"/>
    </row>
    <row r="111" spans="1:14" s="72" customFormat="1" ht="29.25" customHeight="1" x14ac:dyDescent="0.2">
      <c r="A111" s="244"/>
      <c r="B111" s="244"/>
      <c r="C111" s="281"/>
      <c r="D111" s="278"/>
      <c r="E111" s="279"/>
      <c r="F111" s="280"/>
      <c r="G111" s="283"/>
      <c r="H111" s="276"/>
      <c r="I111" s="276"/>
      <c r="J111" s="78">
        <f t="shared" si="39"/>
        <v>0</v>
      </c>
      <c r="K111" s="78">
        <f t="shared" si="40"/>
        <v>0</v>
      </c>
    </row>
    <row r="112" spans="1:14" s="72" customFormat="1" ht="30" customHeight="1" x14ac:dyDescent="0.2">
      <c r="A112" s="244"/>
      <c r="B112" s="244"/>
      <c r="C112" s="281"/>
      <c r="D112" s="278"/>
      <c r="E112" s="279"/>
      <c r="F112" s="280"/>
      <c r="G112" s="282"/>
      <c r="H112" s="276"/>
      <c r="I112" s="276"/>
      <c r="J112" s="78">
        <f t="shared" si="39"/>
        <v>0</v>
      </c>
      <c r="K112" s="78">
        <f t="shared" si="40"/>
        <v>0</v>
      </c>
    </row>
    <row r="113" spans="1:16" s="72" customFormat="1" ht="22.5" customHeight="1" x14ac:dyDescent="0.2">
      <c r="A113" s="244"/>
      <c r="B113" s="244"/>
      <c r="C113" s="281"/>
      <c r="D113" s="278"/>
      <c r="E113" s="279"/>
      <c r="F113" s="280"/>
      <c r="G113" s="283"/>
      <c r="H113" s="277"/>
      <c r="I113" s="277"/>
      <c r="J113" s="78">
        <f t="shared" si="39"/>
        <v>0</v>
      </c>
      <c r="K113" s="78">
        <f t="shared" si="40"/>
        <v>0</v>
      </c>
    </row>
    <row r="114" spans="1:16" s="72" customFormat="1" ht="22.5" customHeight="1" x14ac:dyDescent="0.2">
      <c r="A114" s="244"/>
      <c r="B114" s="244"/>
      <c r="C114" s="281"/>
      <c r="D114" s="278"/>
      <c r="E114" s="279"/>
      <c r="F114" s="280"/>
      <c r="G114" s="282"/>
      <c r="H114" s="277"/>
      <c r="I114" s="277"/>
      <c r="J114" s="78">
        <f t="shared" si="39"/>
        <v>0</v>
      </c>
      <c r="K114" s="78">
        <f t="shared" si="40"/>
        <v>0</v>
      </c>
    </row>
    <row r="115" spans="1:16" s="72" customFormat="1" ht="28.5" customHeight="1" x14ac:dyDescent="0.2">
      <c r="A115" s="244"/>
      <c r="B115" s="244"/>
      <c r="C115" s="281"/>
      <c r="D115" s="278"/>
      <c r="E115" s="279"/>
      <c r="F115" s="280"/>
      <c r="G115" s="282"/>
      <c r="H115" s="277"/>
      <c r="I115" s="277"/>
      <c r="J115" s="78">
        <f t="shared" si="39"/>
        <v>0</v>
      </c>
      <c r="K115" s="78">
        <f t="shared" si="40"/>
        <v>0</v>
      </c>
    </row>
    <row r="116" spans="1:16" s="72" customFormat="1" ht="33" customHeight="1" x14ac:dyDescent="0.2">
      <c r="A116" s="244"/>
      <c r="B116" s="244"/>
      <c r="C116" s="281"/>
      <c r="D116" s="278"/>
      <c r="E116" s="279"/>
      <c r="F116" s="280"/>
      <c r="G116" s="282"/>
      <c r="H116" s="277"/>
      <c r="I116" s="277"/>
      <c r="J116" s="78">
        <f t="shared" si="39"/>
        <v>0</v>
      </c>
      <c r="K116" s="78">
        <f t="shared" si="40"/>
        <v>0</v>
      </c>
    </row>
    <row r="117" spans="1:16" s="72" customFormat="1" ht="27" customHeight="1" x14ac:dyDescent="0.2">
      <c r="A117" s="244"/>
      <c r="B117" s="244"/>
      <c r="C117" s="281"/>
      <c r="D117" s="278"/>
      <c r="E117" s="279"/>
      <c r="F117" s="280"/>
      <c r="G117" s="283"/>
      <c r="H117" s="276"/>
      <c r="I117" s="276"/>
      <c r="J117" s="78">
        <f t="shared" si="39"/>
        <v>0</v>
      </c>
      <c r="K117" s="78">
        <f t="shared" si="40"/>
        <v>0</v>
      </c>
    </row>
    <row r="118" spans="1:16" s="72" customFormat="1" ht="27" customHeight="1" x14ac:dyDescent="0.2">
      <c r="A118" s="244"/>
      <c r="B118" s="244"/>
      <c r="C118" s="281"/>
      <c r="D118" s="278"/>
      <c r="E118" s="279"/>
      <c r="F118" s="280"/>
      <c r="G118" s="283"/>
      <c r="H118" s="276"/>
      <c r="I118" s="276"/>
      <c r="J118" s="78">
        <f t="shared" si="39"/>
        <v>0</v>
      </c>
      <c r="K118" s="78">
        <f t="shared" si="40"/>
        <v>0</v>
      </c>
    </row>
    <row r="119" spans="1:16" s="72" customFormat="1" ht="21" customHeight="1" x14ac:dyDescent="0.2">
      <c r="A119" s="256" t="s">
        <v>194</v>
      </c>
      <c r="B119" s="257"/>
      <c r="C119" s="257"/>
      <c r="D119" s="257"/>
      <c r="E119" s="257"/>
      <c r="F119" s="257"/>
      <c r="G119" s="257"/>
      <c r="H119" s="257"/>
      <c r="I119" s="258"/>
      <c r="J119" s="79">
        <f>+SUM(J101:J118)</f>
        <v>0</v>
      </c>
      <c r="K119" s="79">
        <f>+SUM(K101:K118)</f>
        <v>0</v>
      </c>
    </row>
    <row r="120" spans="1:16" s="72" customFormat="1" ht="21" customHeight="1" x14ac:dyDescent="0.2">
      <c r="A120" s="256" t="s">
        <v>182</v>
      </c>
      <c r="B120" s="257"/>
      <c r="C120" s="257"/>
      <c r="D120" s="257"/>
      <c r="E120" s="257"/>
      <c r="F120" s="257"/>
      <c r="G120" s="257"/>
      <c r="H120" s="257"/>
      <c r="I120" s="258"/>
      <c r="J120" s="259">
        <f>J119+K119</f>
        <v>0</v>
      </c>
      <c r="K120" s="260"/>
    </row>
    <row r="121" spans="1:16" s="72" customFormat="1" ht="15.75" customHeight="1" x14ac:dyDescent="0.2">
      <c r="A121" s="80"/>
      <c r="B121" s="81"/>
      <c r="C121" s="81"/>
      <c r="D121" s="82"/>
      <c r="E121" s="82"/>
      <c r="F121" s="82"/>
      <c r="G121" s="82"/>
      <c r="H121" s="82"/>
      <c r="I121" s="82"/>
      <c r="J121" s="82"/>
      <c r="K121" s="83"/>
    </row>
    <row r="122" spans="1:16" s="72" customFormat="1" ht="45.75" customHeight="1" x14ac:dyDescent="0.2">
      <c r="A122" s="80"/>
      <c r="B122" s="81"/>
      <c r="C122" s="81"/>
      <c r="D122" s="84" t="s">
        <v>183</v>
      </c>
      <c r="E122" s="84" t="s">
        <v>184</v>
      </c>
      <c r="F122" s="84" t="s">
        <v>185</v>
      </c>
      <c r="G122" s="84" t="s">
        <v>186</v>
      </c>
      <c r="H122" s="82"/>
      <c r="I122" s="82"/>
      <c r="J122" s="82"/>
      <c r="K122" s="83"/>
    </row>
    <row r="123" spans="1:16" s="72" customFormat="1" ht="33" customHeight="1" x14ac:dyDescent="0.2">
      <c r="A123" s="80"/>
      <c r="B123" s="81"/>
      <c r="C123" s="81"/>
      <c r="D123" s="85">
        <f>+COUNTIF(C101:C118,"Charla diaria")</f>
        <v>0</v>
      </c>
      <c r="E123" s="85">
        <f>+COUNTIF(C101:C118,"Charla semanal")</f>
        <v>0</v>
      </c>
      <c r="F123" s="104">
        <f>+COUNTIF(C101:C118,"Capacitación específica")</f>
        <v>0</v>
      </c>
      <c r="G123" s="85">
        <f>+COUNTIF(C101:C118,"Inducción")</f>
        <v>0</v>
      </c>
      <c r="H123" s="82"/>
      <c r="I123" s="82"/>
      <c r="J123" s="82"/>
      <c r="K123" s="83"/>
    </row>
    <row r="124" spans="1:16" s="72" customFormat="1" ht="24.75" customHeight="1" x14ac:dyDescent="0.2">
      <c r="A124" s="80"/>
      <c r="B124" s="81"/>
      <c r="C124" s="81"/>
      <c r="D124" s="100"/>
      <c r="E124" s="100"/>
      <c r="F124" s="100"/>
      <c r="G124" s="100"/>
      <c r="H124" s="82"/>
      <c r="I124" s="82"/>
      <c r="J124" s="82"/>
      <c r="K124" s="83"/>
    </row>
    <row r="125" spans="1:16" ht="27" customHeight="1" x14ac:dyDescent="0.2">
      <c r="A125" s="221" t="s">
        <v>187</v>
      </c>
      <c r="B125" s="222"/>
      <c r="C125" s="222"/>
      <c r="D125" s="222"/>
      <c r="E125" s="222"/>
      <c r="F125" s="222"/>
      <c r="G125" s="222"/>
      <c r="H125" s="222"/>
      <c r="I125" s="222"/>
      <c r="J125" s="222"/>
      <c r="K125" s="223"/>
    </row>
    <row r="126" spans="1:16" ht="6.75" customHeight="1" x14ac:dyDescent="0.2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</row>
    <row r="127" spans="1:16" ht="27.6" customHeight="1" x14ac:dyDescent="0.2">
      <c r="A127" s="198" t="s">
        <v>198</v>
      </c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8"/>
      <c r="O127" s="44"/>
      <c r="P127" s="59"/>
    </row>
    <row r="128" spans="1:16" x14ac:dyDescent="0.2">
      <c r="A128" s="157" t="s">
        <v>41</v>
      </c>
      <c r="B128" s="157"/>
      <c r="C128" s="51" t="s">
        <v>42</v>
      </c>
      <c r="D128" s="52" t="s">
        <v>43</v>
      </c>
      <c r="E128" s="158" t="s">
        <v>44</v>
      </c>
      <c r="F128" s="158"/>
      <c r="G128" s="158"/>
      <c r="H128" s="158" t="s">
        <v>45</v>
      </c>
      <c r="I128" s="158"/>
      <c r="J128" s="158"/>
      <c r="K128" s="158"/>
      <c r="L128" s="49"/>
      <c r="M128" s="49"/>
      <c r="N128" s="50"/>
      <c r="O128" s="46"/>
      <c r="P128" s="61"/>
    </row>
    <row r="129" spans="1:16" ht="24.95" customHeight="1" x14ac:dyDescent="0.2">
      <c r="A129" s="171"/>
      <c r="B129" s="171"/>
      <c r="C129" s="54"/>
      <c r="D129" s="55"/>
      <c r="E129" s="145"/>
      <c r="F129" s="145"/>
      <c r="G129" s="145"/>
      <c r="H129" s="160"/>
      <c r="I129" s="160"/>
      <c r="J129" s="160"/>
      <c r="K129" s="160"/>
      <c r="L129" s="49"/>
      <c r="M129" s="49"/>
      <c r="N129" s="50"/>
      <c r="O129" s="46"/>
      <c r="P129" s="61"/>
    </row>
    <row r="130" spans="1:16" ht="24.95" customHeight="1" x14ac:dyDescent="0.2">
      <c r="A130" s="171"/>
      <c r="B130" s="171"/>
      <c r="C130" s="54"/>
      <c r="D130" s="55"/>
      <c r="E130" s="145"/>
      <c r="F130" s="145"/>
      <c r="G130" s="145"/>
      <c r="H130" s="160"/>
      <c r="I130" s="160"/>
      <c r="J130" s="160"/>
      <c r="K130" s="160"/>
      <c r="L130" s="49"/>
      <c r="M130" s="49"/>
      <c r="N130" s="50"/>
      <c r="O130" s="46"/>
      <c r="P130" s="61"/>
    </row>
    <row r="131" spans="1:16" ht="24.95" customHeight="1" x14ac:dyDescent="0.2">
      <c r="A131" s="171"/>
      <c r="B131" s="171"/>
      <c r="C131" s="54"/>
      <c r="D131" s="55"/>
      <c r="E131" s="145"/>
      <c r="F131" s="145"/>
      <c r="G131" s="145"/>
      <c r="H131" s="160"/>
      <c r="I131" s="160"/>
      <c r="J131" s="160"/>
      <c r="K131" s="160"/>
    </row>
    <row r="132" spans="1:16" ht="24.95" customHeight="1" x14ac:dyDescent="0.2">
      <c r="A132" s="198" t="s">
        <v>188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6" ht="24.95" customHeight="1" x14ac:dyDescent="0.2">
      <c r="A133" s="263" t="s">
        <v>171</v>
      </c>
      <c r="B133" s="264"/>
      <c r="C133" s="265"/>
      <c r="D133" s="108">
        <f>D60</f>
        <v>46132</v>
      </c>
      <c r="E133" s="108">
        <f t="shared" ref="E133:J133" si="41">E60</f>
        <v>46133</v>
      </c>
      <c r="F133" s="108">
        <f t="shared" si="41"/>
        <v>46134</v>
      </c>
      <c r="G133" s="108">
        <f t="shared" si="41"/>
        <v>46135</v>
      </c>
      <c r="H133" s="108">
        <f t="shared" si="41"/>
        <v>46136</v>
      </c>
      <c r="I133" s="108">
        <f t="shared" si="41"/>
        <v>46137</v>
      </c>
      <c r="J133" s="108">
        <f t="shared" si="41"/>
        <v>46138</v>
      </c>
      <c r="K133" s="107" t="s">
        <v>173</v>
      </c>
    </row>
    <row r="134" spans="1:16" ht="24.95" customHeight="1" x14ac:dyDescent="0.2">
      <c r="A134" s="9">
        <v>1</v>
      </c>
      <c r="B134" s="118" t="s">
        <v>47</v>
      </c>
      <c r="C134" s="118"/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7">
        <f>SUM(F134:J134)</f>
        <v>0</v>
      </c>
    </row>
    <row r="135" spans="1:16" ht="24.95" customHeight="1" x14ac:dyDescent="0.2">
      <c r="A135" s="9">
        <v>2</v>
      </c>
      <c r="B135" s="118" t="s">
        <v>48</v>
      </c>
      <c r="C135" s="118"/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27">
        <f t="shared" ref="K135:K136" si="42">SUM(F135:J135)</f>
        <v>0</v>
      </c>
    </row>
    <row r="136" spans="1:16" ht="24.95" customHeight="1" x14ac:dyDescent="0.2">
      <c r="A136" s="9">
        <v>3</v>
      </c>
      <c r="B136" s="118" t="s">
        <v>49</v>
      </c>
      <c r="C136" s="118"/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27">
        <f t="shared" si="42"/>
        <v>0</v>
      </c>
    </row>
    <row r="137" spans="1:16" s="14" customFormat="1" ht="24.95" customHeight="1" x14ac:dyDescent="0.2">
      <c r="A137" s="127" t="s">
        <v>50</v>
      </c>
      <c r="B137" s="127"/>
      <c r="C137" s="127"/>
      <c r="D137" s="11">
        <f t="shared" ref="D137:H137" si="43">SUM(D134:D136)</f>
        <v>0</v>
      </c>
      <c r="E137" s="11">
        <f t="shared" si="43"/>
        <v>0</v>
      </c>
      <c r="F137" s="11">
        <f t="shared" si="43"/>
        <v>0</v>
      </c>
      <c r="G137" s="11">
        <f t="shared" si="43"/>
        <v>0</v>
      </c>
      <c r="H137" s="11">
        <f t="shared" si="43"/>
        <v>0</v>
      </c>
      <c r="I137" s="11">
        <f>SUM(I134:I136)</f>
        <v>0</v>
      </c>
      <c r="J137" s="11">
        <f t="shared" ref="J137" si="44">SUM(J134:J136)</f>
        <v>0</v>
      </c>
      <c r="K137" s="11">
        <f>SUM(K134:K136)</f>
        <v>0</v>
      </c>
      <c r="P137" s="57"/>
    </row>
    <row r="138" spans="1:16" ht="24.95" customHeight="1" x14ac:dyDescent="0.2">
      <c r="A138" s="198" t="s">
        <v>51</v>
      </c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6" ht="24.95" customHeight="1" x14ac:dyDescent="0.2">
      <c r="A139" s="263" t="s">
        <v>171</v>
      </c>
      <c r="B139" s="264"/>
      <c r="C139" s="265"/>
      <c r="D139" s="108">
        <f>D133</f>
        <v>46132</v>
      </c>
      <c r="E139" s="108">
        <f t="shared" ref="E139:J139" si="45">E133</f>
        <v>46133</v>
      </c>
      <c r="F139" s="108">
        <f t="shared" si="45"/>
        <v>46134</v>
      </c>
      <c r="G139" s="108">
        <f t="shared" si="45"/>
        <v>46135</v>
      </c>
      <c r="H139" s="108">
        <f t="shared" si="45"/>
        <v>46136</v>
      </c>
      <c r="I139" s="108">
        <f t="shared" si="45"/>
        <v>46137</v>
      </c>
      <c r="J139" s="108">
        <f t="shared" si="45"/>
        <v>46138</v>
      </c>
      <c r="K139" s="107" t="s">
        <v>173</v>
      </c>
    </row>
    <row r="140" spans="1:16" ht="24.95" customHeight="1" x14ac:dyDescent="0.2">
      <c r="A140" s="9">
        <v>4</v>
      </c>
      <c r="B140" s="226" t="s">
        <v>52</v>
      </c>
      <c r="C140" s="226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28">
        <f>SUM(F140:J140)</f>
        <v>0</v>
      </c>
    </row>
    <row r="141" spans="1:16" ht="24.95" customHeight="1" x14ac:dyDescent="0.2">
      <c r="A141" s="127" t="s">
        <v>53</v>
      </c>
      <c r="B141" s="127"/>
      <c r="C141" s="127"/>
      <c r="D141" s="11">
        <f t="shared" ref="D141:H141" si="46">SUM(D140:D140)</f>
        <v>0</v>
      </c>
      <c r="E141" s="11">
        <f t="shared" si="46"/>
        <v>0</v>
      </c>
      <c r="F141" s="11">
        <f t="shared" si="46"/>
        <v>0</v>
      </c>
      <c r="G141" s="11">
        <f t="shared" si="46"/>
        <v>0</v>
      </c>
      <c r="H141" s="11">
        <f t="shared" si="46"/>
        <v>0</v>
      </c>
      <c r="I141" s="11">
        <f>SUM(I140:I140)</f>
        <v>0</v>
      </c>
      <c r="J141" s="11">
        <f>SUM(J140:J140)</f>
        <v>0</v>
      </c>
      <c r="K141" s="11">
        <f>SUM(K140:K140)</f>
        <v>0</v>
      </c>
    </row>
    <row r="142" spans="1:16" ht="24.95" customHeight="1" x14ac:dyDescent="0.2">
      <c r="A142" s="198" t="s">
        <v>189</v>
      </c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6" ht="24.95" customHeight="1" x14ac:dyDescent="0.2">
      <c r="A143" s="263" t="s">
        <v>171</v>
      </c>
      <c r="B143" s="264"/>
      <c r="C143" s="265"/>
      <c r="D143" s="108">
        <f>D139</f>
        <v>46132</v>
      </c>
      <c r="E143" s="108">
        <f t="shared" ref="E143:J143" si="47">E139</f>
        <v>46133</v>
      </c>
      <c r="F143" s="108">
        <f t="shared" si="47"/>
        <v>46134</v>
      </c>
      <c r="G143" s="108">
        <f t="shared" si="47"/>
        <v>46135</v>
      </c>
      <c r="H143" s="108">
        <f t="shared" si="47"/>
        <v>46136</v>
      </c>
      <c r="I143" s="108">
        <f t="shared" si="47"/>
        <v>46137</v>
      </c>
      <c r="J143" s="108">
        <f t="shared" si="47"/>
        <v>46138</v>
      </c>
      <c r="K143" s="107" t="s">
        <v>173</v>
      </c>
    </row>
    <row r="144" spans="1:16" ht="24.95" customHeight="1" x14ac:dyDescent="0.2">
      <c r="A144" s="9">
        <v>5</v>
      </c>
      <c r="B144" s="118" t="s">
        <v>55</v>
      </c>
      <c r="C144" s="118"/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27">
        <f>SUM(F144:J144)</f>
        <v>0</v>
      </c>
    </row>
    <row r="145" spans="1:16" s="2" customFormat="1" ht="24.95" customHeight="1" x14ac:dyDescent="0.2">
      <c r="A145" s="9">
        <v>6</v>
      </c>
      <c r="B145" s="200" t="s">
        <v>56</v>
      </c>
      <c r="C145" s="201"/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27">
        <f>SUM(F145:J145)</f>
        <v>0</v>
      </c>
      <c r="P145" s="3"/>
    </row>
    <row r="146" spans="1:16" ht="24.95" customHeight="1" x14ac:dyDescent="0.2">
      <c r="A146" s="127" t="s">
        <v>57</v>
      </c>
      <c r="B146" s="127"/>
      <c r="C146" s="127"/>
      <c r="D146" s="12">
        <f t="shared" ref="D146:J146" si="48">SUM(D144:D145)</f>
        <v>0</v>
      </c>
      <c r="E146" s="12">
        <f t="shared" si="48"/>
        <v>0</v>
      </c>
      <c r="F146" s="12">
        <f t="shared" si="48"/>
        <v>0</v>
      </c>
      <c r="G146" s="12">
        <f t="shared" si="48"/>
        <v>0</v>
      </c>
      <c r="H146" s="12">
        <f t="shared" si="48"/>
        <v>0</v>
      </c>
      <c r="I146" s="12">
        <f t="shared" si="48"/>
        <v>0</v>
      </c>
      <c r="J146" s="12">
        <f t="shared" si="48"/>
        <v>0</v>
      </c>
      <c r="K146" s="109">
        <f>SUM(K144:K145)</f>
        <v>0</v>
      </c>
    </row>
    <row r="147" spans="1:16" ht="99.75" customHeight="1" x14ac:dyDescent="0.2">
      <c r="A147" s="26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8"/>
    </row>
    <row r="148" spans="1:16" ht="116.25" customHeight="1" x14ac:dyDescent="0.2">
      <c r="A148" s="269"/>
      <c r="B148" s="270"/>
      <c r="C148" s="270"/>
      <c r="D148" s="270"/>
      <c r="E148" s="270"/>
      <c r="F148" s="270"/>
      <c r="G148" s="270"/>
      <c r="H148" s="270"/>
      <c r="I148" s="270"/>
      <c r="J148" s="270"/>
      <c r="K148" s="271"/>
    </row>
    <row r="149" spans="1:16" ht="111" customHeight="1" x14ac:dyDescent="0.2">
      <c r="A149" s="269"/>
      <c r="B149" s="270"/>
      <c r="C149" s="270"/>
      <c r="D149" s="270"/>
      <c r="E149" s="270"/>
      <c r="F149" s="270"/>
      <c r="G149" s="270"/>
      <c r="H149" s="270"/>
      <c r="I149" s="270"/>
      <c r="J149" s="270"/>
      <c r="K149" s="271"/>
    </row>
    <row r="150" spans="1:16" ht="152.25" customHeight="1" x14ac:dyDescent="0.2">
      <c r="A150" s="269"/>
      <c r="B150" s="270"/>
      <c r="C150" s="270"/>
      <c r="D150" s="270"/>
      <c r="E150" s="270"/>
      <c r="F150" s="270"/>
      <c r="G150" s="270"/>
      <c r="H150" s="270"/>
      <c r="I150" s="270"/>
      <c r="J150" s="270"/>
      <c r="K150" s="271"/>
    </row>
    <row r="151" spans="1:16" ht="116.25" customHeight="1" x14ac:dyDescent="0.2">
      <c r="A151" s="246"/>
      <c r="B151" s="247"/>
      <c r="C151" s="247"/>
      <c r="D151" s="247"/>
      <c r="E151" s="247"/>
      <c r="F151" s="247"/>
      <c r="G151" s="247"/>
      <c r="H151" s="247"/>
      <c r="I151" s="247"/>
      <c r="J151" s="247"/>
      <c r="K151" s="248"/>
    </row>
    <row r="152" spans="1:16" ht="27" customHeight="1" x14ac:dyDescent="0.2">
      <c r="A152" s="198" t="s">
        <v>190</v>
      </c>
      <c r="B152" s="198"/>
      <c r="C152" s="198"/>
      <c r="D152" s="198"/>
      <c r="E152" s="198"/>
      <c r="F152" s="198"/>
      <c r="G152" s="198"/>
      <c r="H152" s="198"/>
      <c r="I152" s="198"/>
      <c r="J152" s="198"/>
      <c r="K152" s="199"/>
    </row>
    <row r="153" spans="1:16" ht="24.95" customHeight="1" x14ac:dyDescent="0.2">
      <c r="A153" s="272" t="s">
        <v>191</v>
      </c>
      <c r="B153" s="273"/>
      <c r="C153" s="274"/>
      <c r="D153" s="110">
        <f>D143</f>
        <v>46132</v>
      </c>
      <c r="E153" s="110">
        <f t="shared" ref="E153:J153" si="49">E143</f>
        <v>46133</v>
      </c>
      <c r="F153" s="110">
        <f t="shared" si="49"/>
        <v>46134</v>
      </c>
      <c r="G153" s="110">
        <f t="shared" si="49"/>
        <v>46135</v>
      </c>
      <c r="H153" s="110">
        <f t="shared" si="49"/>
        <v>46136</v>
      </c>
      <c r="I153" s="110">
        <f t="shared" si="49"/>
        <v>46137</v>
      </c>
      <c r="J153" s="110">
        <f t="shared" si="49"/>
        <v>46138</v>
      </c>
      <c r="K153" s="111" t="s">
        <v>173</v>
      </c>
    </row>
    <row r="154" spans="1:16" ht="24.95" customHeight="1" x14ac:dyDescent="0.2">
      <c r="A154" s="9">
        <v>1</v>
      </c>
      <c r="B154" s="118" t="s">
        <v>59</v>
      </c>
      <c r="C154" s="118"/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27">
        <f>SUM(D154:J154)</f>
        <v>0</v>
      </c>
    </row>
    <row r="155" spans="1:16" s="13" customFormat="1" ht="24.95" customHeight="1" x14ac:dyDescent="0.2">
      <c r="A155" s="9">
        <v>2</v>
      </c>
      <c r="B155" s="118" t="s">
        <v>60</v>
      </c>
      <c r="C155" s="118"/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27">
        <f>SUM(D155:J155)</f>
        <v>0</v>
      </c>
    </row>
    <row r="156" spans="1:16" s="13" customFormat="1" ht="24.95" customHeight="1" x14ac:dyDescent="0.2">
      <c r="A156" s="9">
        <v>3</v>
      </c>
      <c r="B156" s="118" t="s">
        <v>61</v>
      </c>
      <c r="C156" s="118"/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27">
        <f>SUM(D156:J156)</f>
        <v>0</v>
      </c>
    </row>
    <row r="157" spans="1:16" ht="24.95" customHeight="1" x14ac:dyDescent="0.2">
      <c r="A157" s="9">
        <v>4</v>
      </c>
      <c r="B157" s="118" t="s">
        <v>62</v>
      </c>
      <c r="C157" s="118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27">
        <f>SUM(D157:J157)</f>
        <v>0</v>
      </c>
    </row>
    <row r="158" spans="1:16" ht="27.75" customHeight="1" x14ac:dyDescent="0.2">
      <c r="A158" s="127" t="s">
        <v>63</v>
      </c>
      <c r="B158" s="127"/>
      <c r="C158" s="127"/>
      <c r="D158" s="11">
        <f t="shared" ref="D158:K159" si="50">D154+D156</f>
        <v>0</v>
      </c>
      <c r="E158" s="11">
        <f t="shared" si="50"/>
        <v>0</v>
      </c>
      <c r="F158" s="11">
        <f t="shared" si="50"/>
        <v>0</v>
      </c>
      <c r="G158" s="11">
        <f t="shared" si="50"/>
        <v>0</v>
      </c>
      <c r="H158" s="11">
        <f t="shared" si="50"/>
        <v>0</v>
      </c>
      <c r="I158" s="11">
        <f t="shared" si="50"/>
        <v>0</v>
      </c>
      <c r="J158" s="11">
        <f t="shared" si="50"/>
        <v>0</v>
      </c>
      <c r="K158" s="11">
        <f t="shared" si="50"/>
        <v>0</v>
      </c>
    </row>
    <row r="159" spans="1:16" ht="29.25" customHeight="1" x14ac:dyDescent="0.2">
      <c r="A159" s="230" t="s">
        <v>64</v>
      </c>
      <c r="B159" s="230"/>
      <c r="C159" s="230"/>
      <c r="D159" s="11">
        <f t="shared" si="50"/>
        <v>0</v>
      </c>
      <c r="E159" s="11">
        <f t="shared" si="50"/>
        <v>0</v>
      </c>
      <c r="F159" s="11">
        <f t="shared" si="50"/>
        <v>0</v>
      </c>
      <c r="G159" s="11">
        <f t="shared" si="50"/>
        <v>0</v>
      </c>
      <c r="H159" s="11">
        <f t="shared" si="50"/>
        <v>0</v>
      </c>
      <c r="I159" s="11">
        <f>I155+I157</f>
        <v>0</v>
      </c>
      <c r="J159" s="11">
        <f t="shared" si="50"/>
        <v>0</v>
      </c>
      <c r="K159" s="11">
        <f t="shared" si="50"/>
        <v>0</v>
      </c>
    </row>
    <row r="160" spans="1:16" ht="38.25" customHeight="1" x14ac:dyDescent="0.2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</row>
    <row r="161" spans="1:11" ht="4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</row>
    <row r="162" spans="1:11" ht="53.2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</row>
    <row r="163" spans="1:11" ht="49.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</row>
    <row r="164" spans="1:11" ht="56.2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1:11" ht="50.2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</row>
    <row r="166" spans="1:11" ht="72.75" customHeight="1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</row>
    <row r="167" spans="1:11" ht="27" customHeight="1" x14ac:dyDescent="0.2">
      <c r="A167" s="221" t="s">
        <v>199</v>
      </c>
      <c r="B167" s="222"/>
      <c r="C167" s="222"/>
      <c r="D167" s="222"/>
      <c r="E167" s="222"/>
      <c r="F167" s="222"/>
      <c r="G167" s="222"/>
      <c r="H167" s="222"/>
      <c r="I167" s="222"/>
      <c r="J167" s="222"/>
      <c r="K167" s="223"/>
    </row>
    <row r="168" spans="1:11" ht="9" customHeight="1" x14ac:dyDescent="0.2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3"/>
    </row>
    <row r="169" spans="1:11" ht="24.95" customHeight="1" x14ac:dyDescent="0.2">
      <c r="A169" s="227" t="s">
        <v>65</v>
      </c>
      <c r="B169" s="228"/>
      <c r="C169" s="228"/>
      <c r="D169" s="228"/>
      <c r="E169" s="228"/>
      <c r="F169" s="228"/>
      <c r="G169" s="228"/>
      <c r="H169" s="228"/>
      <c r="I169" s="228"/>
      <c r="J169" s="228"/>
      <c r="K169" s="229"/>
    </row>
    <row r="170" spans="1:11" ht="24.95" customHeight="1" x14ac:dyDescent="0.2">
      <c r="A170" s="255" t="s">
        <v>171</v>
      </c>
      <c r="B170" s="255"/>
      <c r="C170" s="255"/>
      <c r="D170" s="87">
        <f>D153</f>
        <v>46132</v>
      </c>
      <c r="E170" s="87">
        <f t="shared" ref="E170:J170" si="51">E153</f>
        <v>46133</v>
      </c>
      <c r="F170" s="87">
        <f t="shared" si="51"/>
        <v>46134</v>
      </c>
      <c r="G170" s="87">
        <f t="shared" si="51"/>
        <v>46135</v>
      </c>
      <c r="H170" s="87">
        <f t="shared" si="51"/>
        <v>46136</v>
      </c>
      <c r="I170" s="87">
        <f t="shared" si="51"/>
        <v>46137</v>
      </c>
      <c r="J170" s="87">
        <f t="shared" si="51"/>
        <v>46138</v>
      </c>
      <c r="K170" s="86" t="s">
        <v>173</v>
      </c>
    </row>
    <row r="171" spans="1:11" ht="24.95" customHeight="1" x14ac:dyDescent="0.2">
      <c r="A171" s="9">
        <v>1</v>
      </c>
      <c r="B171" s="220" t="s">
        <v>66</v>
      </c>
      <c r="C171" s="220"/>
      <c r="D171" s="113">
        <v>0</v>
      </c>
      <c r="E171" s="113">
        <v>0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4">
        <f>SUM(D171:J171)</f>
        <v>0</v>
      </c>
    </row>
    <row r="172" spans="1:11" ht="24.95" customHeight="1" x14ac:dyDescent="0.2">
      <c r="A172" s="9">
        <v>2</v>
      </c>
      <c r="B172" s="220" t="s">
        <v>67</v>
      </c>
      <c r="C172" s="220"/>
      <c r="D172" s="113">
        <v>0</v>
      </c>
      <c r="E172" s="113">
        <v>0</v>
      </c>
      <c r="F172" s="113">
        <v>0</v>
      </c>
      <c r="G172" s="113">
        <v>0</v>
      </c>
      <c r="H172" s="113">
        <v>0</v>
      </c>
      <c r="I172" s="113">
        <v>0</v>
      </c>
      <c r="J172" s="113">
        <v>0</v>
      </c>
      <c r="K172" s="114">
        <f>SUM(D172:J172)</f>
        <v>0</v>
      </c>
    </row>
    <row r="173" spans="1:11" ht="24.95" customHeight="1" x14ac:dyDescent="0.2">
      <c r="A173" s="9">
        <v>3</v>
      </c>
      <c r="B173" s="184" t="s">
        <v>68</v>
      </c>
      <c r="C173" s="184"/>
      <c r="D173" s="113">
        <v>0</v>
      </c>
      <c r="E173" s="113">
        <v>0</v>
      </c>
      <c r="F173" s="113">
        <v>0</v>
      </c>
      <c r="G173" s="113">
        <v>0</v>
      </c>
      <c r="H173" s="113">
        <v>0</v>
      </c>
      <c r="I173" s="113">
        <v>0</v>
      </c>
      <c r="J173" s="113">
        <v>0</v>
      </c>
      <c r="K173" s="114">
        <f t="shared" ref="K173:K176" si="52">SUM(D173:J173)</f>
        <v>0</v>
      </c>
    </row>
    <row r="174" spans="1:11" ht="24.95" customHeight="1" x14ac:dyDescent="0.2">
      <c r="A174" s="9">
        <v>4</v>
      </c>
      <c r="B174" s="184" t="s">
        <v>69</v>
      </c>
      <c r="C174" s="184"/>
      <c r="D174" s="113">
        <v>0</v>
      </c>
      <c r="E174" s="113">
        <v>0</v>
      </c>
      <c r="F174" s="113">
        <v>0</v>
      </c>
      <c r="G174" s="113">
        <v>0</v>
      </c>
      <c r="H174" s="113">
        <v>0</v>
      </c>
      <c r="I174" s="113">
        <v>0</v>
      </c>
      <c r="J174" s="113">
        <v>0</v>
      </c>
      <c r="K174" s="114">
        <f t="shared" si="52"/>
        <v>0</v>
      </c>
    </row>
    <row r="175" spans="1:11" ht="24.95" customHeight="1" x14ac:dyDescent="0.2">
      <c r="A175" s="9">
        <v>5</v>
      </c>
      <c r="B175" s="184" t="s">
        <v>70</v>
      </c>
      <c r="C175" s="184"/>
      <c r="D175" s="113">
        <v>0</v>
      </c>
      <c r="E175" s="113">
        <v>0</v>
      </c>
      <c r="F175" s="113">
        <v>0</v>
      </c>
      <c r="G175" s="113">
        <v>0</v>
      </c>
      <c r="H175" s="113">
        <v>0</v>
      </c>
      <c r="I175" s="113">
        <v>0</v>
      </c>
      <c r="J175" s="113">
        <v>0</v>
      </c>
      <c r="K175" s="114">
        <f t="shared" si="52"/>
        <v>0</v>
      </c>
    </row>
    <row r="176" spans="1:11" ht="24.95" customHeight="1" x14ac:dyDescent="0.2">
      <c r="A176" s="9">
        <v>6</v>
      </c>
      <c r="B176" s="184" t="s">
        <v>71</v>
      </c>
      <c r="C176" s="184"/>
      <c r="D176" s="113">
        <v>0</v>
      </c>
      <c r="E176" s="113">
        <v>0</v>
      </c>
      <c r="F176" s="113">
        <v>0</v>
      </c>
      <c r="G176" s="113">
        <v>0</v>
      </c>
      <c r="H176" s="113">
        <v>0</v>
      </c>
      <c r="I176" s="113">
        <v>0</v>
      </c>
      <c r="J176" s="113">
        <v>0</v>
      </c>
      <c r="K176" s="114">
        <f t="shared" si="52"/>
        <v>0</v>
      </c>
    </row>
    <row r="177" spans="1:16" ht="24.95" customHeight="1" x14ac:dyDescent="0.2">
      <c r="A177" s="9">
        <v>7</v>
      </c>
      <c r="B177" s="184" t="s">
        <v>72</v>
      </c>
      <c r="C177" s="184"/>
      <c r="D177" s="113">
        <v>0</v>
      </c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4">
        <f>SUM(D177:J177)</f>
        <v>0</v>
      </c>
    </row>
    <row r="178" spans="1:16" ht="24.95" customHeight="1" x14ac:dyDescent="0.2">
      <c r="A178" s="9">
        <v>8</v>
      </c>
      <c r="B178" s="184" t="s">
        <v>73</v>
      </c>
      <c r="C178" s="184"/>
      <c r="D178" s="113">
        <v>0</v>
      </c>
      <c r="E178" s="113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4">
        <f>SUM(D178:J178)</f>
        <v>0</v>
      </c>
    </row>
    <row r="179" spans="1:16" ht="24.95" customHeight="1" x14ac:dyDescent="0.2">
      <c r="A179" s="9">
        <v>9</v>
      </c>
      <c r="B179" s="118"/>
      <c r="C179" s="118"/>
      <c r="D179" s="17"/>
      <c r="E179" s="17"/>
      <c r="F179" s="17"/>
      <c r="G179" s="17"/>
      <c r="H179" s="17"/>
      <c r="I179" s="17"/>
      <c r="J179" s="17"/>
      <c r="K179" s="29"/>
    </row>
    <row r="180" spans="1:16" s="6" customFormat="1" ht="24.95" customHeight="1" x14ac:dyDescent="0.2">
      <c r="A180" s="9">
        <v>10</v>
      </c>
      <c r="B180" s="118"/>
      <c r="C180" s="118"/>
      <c r="D180" s="17"/>
      <c r="E180" s="17"/>
      <c r="F180" s="17"/>
      <c r="G180" s="17"/>
      <c r="H180" s="17"/>
      <c r="I180" s="17"/>
      <c r="J180" s="17"/>
      <c r="K180" s="29"/>
    </row>
    <row r="181" spans="1:16" s="6" customFormat="1" ht="24.95" customHeight="1" x14ac:dyDescent="0.2">
      <c r="A181" s="9">
        <v>11</v>
      </c>
      <c r="B181" s="118"/>
      <c r="C181" s="118"/>
      <c r="D181" s="17"/>
      <c r="E181" s="17"/>
      <c r="F181" s="17"/>
      <c r="G181" s="17"/>
      <c r="H181" s="17"/>
      <c r="I181" s="17"/>
      <c r="J181" s="17"/>
      <c r="K181" s="29"/>
    </row>
    <row r="182" spans="1:16" ht="24.95" customHeight="1" x14ac:dyDescent="0.2">
      <c r="A182" s="9">
        <v>12</v>
      </c>
      <c r="B182" s="118"/>
      <c r="C182" s="118"/>
      <c r="D182" s="17"/>
      <c r="E182" s="17"/>
      <c r="F182" s="17"/>
      <c r="G182" s="17"/>
      <c r="H182" s="17"/>
      <c r="I182" s="17"/>
      <c r="J182" s="17"/>
      <c r="K182" s="29"/>
    </row>
    <row r="183" spans="1:16" ht="24.95" customHeight="1" x14ac:dyDescent="0.2">
      <c r="A183" s="230" t="s">
        <v>74</v>
      </c>
      <c r="B183" s="230"/>
      <c r="C183" s="230"/>
      <c r="D183" s="11">
        <f>D171+D173+D175+D177+D179+D181</f>
        <v>0</v>
      </c>
      <c r="E183" s="11">
        <f t="shared" ref="E183:K184" si="53">E171+E173+E175+E177+E179+E181</f>
        <v>0</v>
      </c>
      <c r="F183" s="11">
        <f t="shared" si="53"/>
        <v>0</v>
      </c>
      <c r="G183" s="11">
        <f t="shared" si="53"/>
        <v>0</v>
      </c>
      <c r="H183" s="11">
        <f t="shared" si="53"/>
        <v>0</v>
      </c>
      <c r="I183" s="11">
        <f t="shared" si="53"/>
        <v>0</v>
      </c>
      <c r="J183" s="11">
        <f t="shared" si="53"/>
        <v>0</v>
      </c>
      <c r="K183" s="11">
        <f>K171+K173+K175+K177+K179+K181</f>
        <v>0</v>
      </c>
    </row>
    <row r="184" spans="1:16" ht="24.95" customHeight="1" x14ac:dyDescent="0.2">
      <c r="A184" s="230" t="s">
        <v>75</v>
      </c>
      <c r="B184" s="230"/>
      <c r="C184" s="230"/>
      <c r="D184" s="11">
        <f>D172+D174+D176+D178+D180+D182</f>
        <v>0</v>
      </c>
      <c r="E184" s="11">
        <f t="shared" si="53"/>
        <v>0</v>
      </c>
      <c r="F184" s="11">
        <f t="shared" si="53"/>
        <v>0</v>
      </c>
      <c r="G184" s="11">
        <f t="shared" si="53"/>
        <v>0</v>
      </c>
      <c r="H184" s="11">
        <f t="shared" si="53"/>
        <v>0</v>
      </c>
      <c r="I184" s="11">
        <f t="shared" si="53"/>
        <v>0</v>
      </c>
      <c r="J184" s="11">
        <f t="shared" si="53"/>
        <v>0</v>
      </c>
      <c r="K184" s="11">
        <f t="shared" si="53"/>
        <v>0</v>
      </c>
    </row>
    <row r="185" spans="1:16" ht="24.95" customHeight="1" x14ac:dyDescent="0.2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</row>
    <row r="186" spans="1:16" ht="24.95" customHeight="1" x14ac:dyDescent="0.2">
      <c r="A186" s="227" t="s">
        <v>76</v>
      </c>
      <c r="B186" s="228"/>
      <c r="C186" s="228"/>
      <c r="D186" s="228"/>
      <c r="E186" s="228"/>
      <c r="F186" s="228"/>
      <c r="G186" s="228"/>
      <c r="H186" s="228"/>
      <c r="I186" s="228"/>
      <c r="J186" s="228"/>
      <c r="K186" s="229"/>
    </row>
    <row r="187" spans="1:16" ht="24.95" customHeight="1" x14ac:dyDescent="0.2">
      <c r="A187" s="255" t="s">
        <v>171</v>
      </c>
      <c r="B187" s="255"/>
      <c r="C187" s="255"/>
      <c r="D187" s="87">
        <f>D170</f>
        <v>46132</v>
      </c>
      <c r="E187" s="87">
        <f t="shared" ref="E187:J187" si="54">E170</f>
        <v>46133</v>
      </c>
      <c r="F187" s="87">
        <f t="shared" si="54"/>
        <v>46134</v>
      </c>
      <c r="G187" s="87">
        <f t="shared" si="54"/>
        <v>46135</v>
      </c>
      <c r="H187" s="87">
        <f t="shared" si="54"/>
        <v>46136</v>
      </c>
      <c r="I187" s="87">
        <f t="shared" si="54"/>
        <v>46137</v>
      </c>
      <c r="J187" s="87">
        <f t="shared" si="54"/>
        <v>46138</v>
      </c>
      <c r="K187" s="86" t="s">
        <v>173</v>
      </c>
    </row>
    <row r="188" spans="1:16" ht="24.95" customHeight="1" x14ac:dyDescent="0.2">
      <c r="A188" s="9">
        <v>1</v>
      </c>
      <c r="B188" s="118" t="s">
        <v>77</v>
      </c>
      <c r="C188" s="118"/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29">
        <f>SUM(D188:J188)</f>
        <v>0</v>
      </c>
    </row>
    <row r="189" spans="1:16" ht="24.95" customHeight="1" x14ac:dyDescent="0.2">
      <c r="A189" s="9">
        <v>2</v>
      </c>
      <c r="B189" s="118" t="s">
        <v>78</v>
      </c>
      <c r="C189" s="118"/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29">
        <f>SUM(D189:J189)</f>
        <v>0</v>
      </c>
    </row>
    <row r="190" spans="1:16" ht="24.95" customHeight="1" x14ac:dyDescent="0.2">
      <c r="A190" s="9">
        <v>3</v>
      </c>
      <c r="B190" s="118" t="s">
        <v>79</v>
      </c>
      <c r="C190" s="118"/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29">
        <f>SUM(D190:J190)</f>
        <v>0</v>
      </c>
    </row>
    <row r="191" spans="1:16" s="40" customFormat="1" ht="24.95" customHeight="1" x14ac:dyDescent="0.2">
      <c r="A191" s="127" t="s">
        <v>80</v>
      </c>
      <c r="B191" s="127"/>
      <c r="C191" s="127"/>
      <c r="D191" s="12">
        <f>SUM(D188:D190)</f>
        <v>0</v>
      </c>
      <c r="E191" s="12">
        <f t="shared" ref="E191:J191" si="55">SUM(E188:E190)</f>
        <v>0</v>
      </c>
      <c r="F191" s="12">
        <f t="shared" si="55"/>
        <v>0</v>
      </c>
      <c r="G191" s="12">
        <f t="shared" si="55"/>
        <v>0</v>
      </c>
      <c r="H191" s="12">
        <f t="shared" si="55"/>
        <v>0</v>
      </c>
      <c r="I191" s="12">
        <f t="shared" si="55"/>
        <v>0</v>
      </c>
      <c r="J191" s="12">
        <f t="shared" si="55"/>
        <v>0</v>
      </c>
      <c r="K191" s="109">
        <f>SUM(K188:K190)</f>
        <v>0</v>
      </c>
      <c r="O191" s="43"/>
      <c r="P191" s="58"/>
    </row>
    <row r="192" spans="1:16" s="40" customFormat="1" ht="24.95" customHeight="1" x14ac:dyDescent="0.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O192" s="43"/>
      <c r="P192" s="58"/>
    </row>
    <row r="193" spans="1:16" ht="24.95" customHeight="1" x14ac:dyDescent="0.2">
      <c r="A193" s="224" t="s">
        <v>85</v>
      </c>
      <c r="B193" s="224"/>
      <c r="C193" s="181" t="s">
        <v>86</v>
      </c>
      <c r="D193" s="181"/>
      <c r="E193" s="181"/>
      <c r="F193" s="181"/>
      <c r="G193" s="181"/>
      <c r="H193" s="181"/>
      <c r="I193" s="181"/>
      <c r="J193" s="181"/>
      <c r="K193" s="181"/>
    </row>
    <row r="194" spans="1:16" ht="24.95" customHeight="1" x14ac:dyDescent="0.2">
      <c r="A194" s="120">
        <v>1</v>
      </c>
      <c r="B194" s="120"/>
      <c r="C194" s="192"/>
      <c r="D194" s="225"/>
      <c r="E194" s="225"/>
      <c r="F194" s="225"/>
      <c r="G194" s="225"/>
      <c r="H194" s="225"/>
      <c r="I194" s="225"/>
      <c r="J194" s="225"/>
      <c r="K194" s="225"/>
    </row>
    <row r="195" spans="1:16" ht="24.95" customHeight="1" x14ac:dyDescent="0.2">
      <c r="A195" s="120">
        <v>2</v>
      </c>
      <c r="B195" s="120">
        <v>2</v>
      </c>
      <c r="C195" s="170"/>
      <c r="D195" s="171"/>
      <c r="E195" s="171"/>
      <c r="F195" s="171"/>
      <c r="G195" s="171"/>
      <c r="H195" s="171"/>
      <c r="I195" s="171"/>
      <c r="J195" s="171"/>
      <c r="K195" s="171"/>
    </row>
    <row r="196" spans="1:16" ht="24.95" customHeight="1" x14ac:dyDescent="0.2">
      <c r="A196" s="120">
        <v>3</v>
      </c>
      <c r="B196" s="120"/>
      <c r="C196" s="170"/>
      <c r="D196" s="171"/>
      <c r="E196" s="171"/>
      <c r="F196" s="171"/>
      <c r="G196" s="171"/>
      <c r="H196" s="171"/>
      <c r="I196" s="171"/>
      <c r="J196" s="171"/>
      <c r="K196" s="171"/>
    </row>
    <row r="197" spans="1:16" ht="24.95" customHeight="1" x14ac:dyDescent="0.2">
      <c r="A197" s="120">
        <v>4</v>
      </c>
      <c r="B197" s="120">
        <v>2</v>
      </c>
      <c r="C197" s="170"/>
      <c r="D197" s="171"/>
      <c r="E197" s="171"/>
      <c r="F197" s="171"/>
      <c r="G197" s="171"/>
      <c r="H197" s="171"/>
      <c r="I197" s="171"/>
      <c r="J197" s="171"/>
      <c r="K197" s="171"/>
    </row>
    <row r="198" spans="1:16" ht="24.95" customHeight="1" x14ac:dyDescent="0.2">
      <c r="A198" s="120">
        <v>5</v>
      </c>
      <c r="B198" s="120"/>
      <c r="C198" s="170"/>
      <c r="D198" s="171"/>
      <c r="E198" s="171"/>
      <c r="F198" s="171"/>
      <c r="G198" s="171"/>
      <c r="H198" s="171"/>
      <c r="I198" s="171"/>
      <c r="J198" s="171"/>
      <c r="K198" s="171"/>
    </row>
    <row r="199" spans="1:16" ht="24.95" customHeight="1" x14ac:dyDescent="0.2">
      <c r="A199" s="120">
        <v>6</v>
      </c>
      <c r="B199" s="120">
        <v>2</v>
      </c>
      <c r="C199" s="170"/>
      <c r="D199" s="171"/>
      <c r="E199" s="171"/>
      <c r="F199" s="171"/>
      <c r="G199" s="171"/>
      <c r="H199" s="171"/>
      <c r="I199" s="171"/>
      <c r="J199" s="171"/>
      <c r="K199" s="171"/>
    </row>
    <row r="200" spans="1:16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</row>
    <row r="201" spans="1:16" ht="24.95" customHeight="1" x14ac:dyDescent="0.2">
      <c r="A201" s="224" t="s">
        <v>85</v>
      </c>
      <c r="B201" s="224"/>
      <c r="C201" s="181" t="s">
        <v>87</v>
      </c>
      <c r="D201" s="181"/>
      <c r="E201" s="181"/>
      <c r="F201" s="181"/>
      <c r="G201" s="181"/>
      <c r="H201" s="181"/>
      <c r="I201" s="181"/>
      <c r="J201" s="181"/>
      <c r="K201" s="181"/>
    </row>
    <row r="202" spans="1:16" s="40" customFormat="1" ht="24.95" customHeight="1" x14ac:dyDescent="0.2">
      <c r="A202" s="120">
        <v>1</v>
      </c>
      <c r="B202" s="120"/>
      <c r="C202" s="192"/>
      <c r="D202" s="225"/>
      <c r="E202" s="225"/>
      <c r="F202" s="225"/>
      <c r="G202" s="225"/>
      <c r="H202" s="225"/>
      <c r="I202" s="225"/>
      <c r="J202" s="225"/>
      <c r="K202" s="225"/>
      <c r="P202" s="60"/>
    </row>
    <row r="203" spans="1:16" s="40" customFormat="1" ht="24.95" customHeight="1" x14ac:dyDescent="0.2">
      <c r="A203" s="120">
        <v>2</v>
      </c>
      <c r="B203" s="120">
        <v>2</v>
      </c>
      <c r="C203" s="170"/>
      <c r="D203" s="171"/>
      <c r="E203" s="171"/>
      <c r="F203" s="171"/>
      <c r="G203" s="171"/>
      <c r="H203" s="171"/>
      <c r="I203" s="171"/>
      <c r="J203" s="171"/>
      <c r="K203" s="171"/>
      <c r="P203" s="60"/>
    </row>
    <row r="204" spans="1:16" s="40" customFormat="1" ht="24.95" customHeight="1" x14ac:dyDescent="0.2">
      <c r="A204" s="120">
        <v>3</v>
      </c>
      <c r="B204" s="120"/>
      <c r="C204" s="170"/>
      <c r="D204" s="171"/>
      <c r="E204" s="171"/>
      <c r="F204" s="171"/>
      <c r="G204" s="171"/>
      <c r="H204" s="171"/>
      <c r="I204" s="171"/>
      <c r="J204" s="171"/>
      <c r="K204" s="171"/>
      <c r="P204" s="60"/>
    </row>
    <row r="205" spans="1:16" s="40" customFormat="1" ht="24.95" customHeight="1" x14ac:dyDescent="0.2">
      <c r="A205" s="120">
        <v>4</v>
      </c>
      <c r="B205" s="120">
        <v>2</v>
      </c>
      <c r="C205" s="170"/>
      <c r="D205" s="171"/>
      <c r="E205" s="171"/>
      <c r="F205" s="171"/>
      <c r="G205" s="171"/>
      <c r="H205" s="171"/>
      <c r="I205" s="171"/>
      <c r="J205" s="171"/>
      <c r="K205" s="171"/>
      <c r="P205" s="60"/>
    </row>
    <row r="206" spans="1:16" s="40" customFormat="1" ht="24.95" customHeight="1" x14ac:dyDescent="0.2">
      <c r="A206" s="120">
        <v>5</v>
      </c>
      <c r="B206" s="120"/>
      <c r="C206" s="170"/>
      <c r="D206" s="171"/>
      <c r="E206" s="171"/>
      <c r="F206" s="171"/>
      <c r="G206" s="171"/>
      <c r="H206" s="171"/>
      <c r="I206" s="171"/>
      <c r="J206" s="171"/>
      <c r="K206" s="171"/>
      <c r="P206" s="60"/>
    </row>
    <row r="207" spans="1:16" ht="24.95" customHeight="1" x14ac:dyDescent="0.2">
      <c r="A207" s="120">
        <v>6</v>
      </c>
      <c r="B207" s="120">
        <v>2</v>
      </c>
      <c r="C207" s="170"/>
      <c r="D207" s="171"/>
      <c r="E207" s="171"/>
      <c r="F207" s="171"/>
      <c r="G207" s="171"/>
      <c r="H207" s="171"/>
      <c r="I207" s="171"/>
      <c r="J207" s="171"/>
      <c r="K207" s="171"/>
    </row>
    <row r="208" spans="1:16" ht="15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</row>
    <row r="209" spans="1:11" ht="24.95" customHeight="1" x14ac:dyDescent="0.2">
      <c r="A209" s="181" t="s">
        <v>88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spans="1:11" ht="27.95" customHeight="1" x14ac:dyDescent="0.2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 spans="1:11" ht="27.95" customHeight="1" x14ac:dyDescent="0.2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 spans="1:11" ht="27.95" customHeight="1" x14ac:dyDescent="0.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 spans="1:11" ht="27.95" customHeight="1" x14ac:dyDescent="0.2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 spans="1:11" ht="27.9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</row>
    <row r="215" spans="1:11" ht="23.25" customHeight="1" x14ac:dyDescent="0.2">
      <c r="A215" s="188" t="s">
        <v>89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</row>
    <row r="216" spans="1:11" x14ac:dyDescent="0.2">
      <c r="A216" s="189"/>
      <c r="B216" s="189"/>
      <c r="C216" s="189"/>
      <c r="D216" s="189"/>
      <c r="E216" s="190"/>
      <c r="F216" s="190"/>
      <c r="G216" s="190"/>
      <c r="H216" s="190"/>
      <c r="I216" s="190"/>
      <c r="J216" s="190"/>
      <c r="K216" s="190"/>
    </row>
    <row r="217" spans="1:11" x14ac:dyDescent="0.2">
      <c r="A217" s="189"/>
      <c r="B217" s="189"/>
      <c r="C217" s="189"/>
      <c r="D217" s="189"/>
      <c r="E217" s="190"/>
      <c r="F217" s="190"/>
      <c r="G217" s="190"/>
      <c r="H217" s="190"/>
      <c r="I217" s="190"/>
      <c r="J217" s="190"/>
      <c r="K217" s="190"/>
    </row>
    <row r="218" spans="1:11" x14ac:dyDescent="0.2">
      <c r="A218" s="189"/>
      <c r="B218" s="189"/>
      <c r="C218" s="189"/>
      <c r="D218" s="189"/>
      <c r="E218" s="190"/>
      <c r="F218" s="190"/>
      <c r="G218" s="190"/>
      <c r="H218" s="190"/>
      <c r="I218" s="190"/>
      <c r="J218" s="190"/>
      <c r="K218" s="190"/>
    </row>
    <row r="219" spans="1:11" x14ac:dyDescent="0.2">
      <c r="A219" s="189"/>
      <c r="B219" s="189"/>
      <c r="C219" s="189"/>
      <c r="D219" s="189"/>
      <c r="E219" s="190"/>
      <c r="F219" s="190"/>
      <c r="G219" s="190"/>
      <c r="H219" s="190"/>
      <c r="I219" s="190"/>
      <c r="J219" s="190"/>
      <c r="K219" s="190"/>
    </row>
    <row r="220" spans="1:11" x14ac:dyDescent="0.2">
      <c r="A220" s="189"/>
      <c r="B220" s="189"/>
      <c r="C220" s="189"/>
      <c r="D220" s="189"/>
      <c r="E220" s="190"/>
      <c r="F220" s="190"/>
      <c r="G220" s="190"/>
      <c r="H220" s="190"/>
      <c r="I220" s="190"/>
      <c r="J220" s="190"/>
      <c r="K220" s="190"/>
    </row>
    <row r="221" spans="1:11" x14ac:dyDescent="0.2">
      <c r="A221" s="189"/>
      <c r="B221" s="189"/>
      <c r="C221" s="189"/>
      <c r="D221" s="189"/>
      <c r="E221" s="190"/>
      <c r="F221" s="190"/>
      <c r="G221" s="190"/>
      <c r="H221" s="190"/>
      <c r="I221" s="190"/>
      <c r="J221" s="190"/>
      <c r="K221" s="190"/>
    </row>
    <row r="222" spans="1:11" x14ac:dyDescent="0.2">
      <c r="A222" s="189"/>
      <c r="B222" s="189"/>
      <c r="C222" s="189"/>
      <c r="D222" s="189"/>
      <c r="E222" s="190"/>
      <c r="F222" s="190"/>
      <c r="G222" s="190"/>
      <c r="H222" s="190"/>
      <c r="I222" s="190"/>
      <c r="J222" s="190"/>
      <c r="K222" s="190"/>
    </row>
    <row r="223" spans="1:11" x14ac:dyDescent="0.2">
      <c r="A223" s="189"/>
      <c r="B223" s="189"/>
      <c r="C223" s="189"/>
      <c r="D223" s="189"/>
      <c r="E223" s="190"/>
      <c r="F223" s="190"/>
      <c r="G223" s="190"/>
      <c r="H223" s="190"/>
      <c r="I223" s="190"/>
      <c r="J223" s="190"/>
      <c r="K223" s="190"/>
    </row>
    <row r="224" spans="1:11" x14ac:dyDescent="0.2">
      <c r="A224" s="189"/>
      <c r="B224" s="189"/>
      <c r="C224" s="189"/>
      <c r="D224" s="189"/>
      <c r="E224" s="190"/>
      <c r="F224" s="190"/>
      <c r="G224" s="190"/>
      <c r="H224" s="190"/>
      <c r="I224" s="190"/>
      <c r="J224" s="190"/>
      <c r="K224" s="190"/>
    </row>
    <row r="225" spans="1:11" x14ac:dyDescent="0.2">
      <c r="A225" s="189"/>
      <c r="B225" s="189"/>
      <c r="C225" s="189"/>
      <c r="D225" s="189"/>
      <c r="E225" s="190"/>
      <c r="F225" s="190"/>
      <c r="G225" s="190"/>
      <c r="H225" s="190"/>
      <c r="I225" s="190"/>
      <c r="J225" s="190"/>
      <c r="K225" s="190"/>
    </row>
    <row r="226" spans="1:11" x14ac:dyDescent="0.2">
      <c r="A226" s="189"/>
      <c r="B226" s="189"/>
      <c r="C226" s="189"/>
      <c r="D226" s="189"/>
      <c r="E226" s="190"/>
      <c r="F226" s="190"/>
      <c r="G226" s="190"/>
      <c r="H226" s="190"/>
      <c r="I226" s="190"/>
      <c r="J226" s="190"/>
      <c r="K226" s="190"/>
    </row>
    <row r="227" spans="1:11" x14ac:dyDescent="0.2">
      <c r="A227" s="189"/>
      <c r="B227" s="189"/>
      <c r="C227" s="189"/>
      <c r="D227" s="189"/>
      <c r="E227" s="190"/>
      <c r="F227" s="190"/>
      <c r="G227" s="190"/>
      <c r="H227" s="190"/>
      <c r="I227" s="190"/>
      <c r="J227" s="190"/>
      <c r="K227" s="190"/>
    </row>
    <row r="228" spans="1:11" x14ac:dyDescent="0.2">
      <c r="A228" s="189"/>
      <c r="B228" s="189"/>
      <c r="C228" s="189"/>
      <c r="D228" s="189"/>
      <c r="E228" s="190"/>
      <c r="F228" s="190"/>
      <c r="G228" s="190"/>
      <c r="H228" s="190"/>
      <c r="I228" s="190"/>
      <c r="J228" s="190"/>
      <c r="K228" s="190"/>
    </row>
    <row r="229" spans="1:11" ht="36" customHeight="1" x14ac:dyDescent="0.2">
      <c r="A229" s="189"/>
      <c r="B229" s="189"/>
      <c r="C229" s="189"/>
      <c r="D229" s="189"/>
      <c r="E229" s="190"/>
      <c r="F229" s="190"/>
      <c r="G229" s="190"/>
      <c r="H229" s="190"/>
      <c r="I229" s="190"/>
      <c r="J229" s="190"/>
      <c r="K229" s="190"/>
    </row>
    <row r="230" spans="1:11" x14ac:dyDescent="0.2">
      <c r="A230" s="189"/>
      <c r="B230" s="189"/>
      <c r="C230" s="189"/>
      <c r="D230" s="189"/>
      <c r="E230" s="190"/>
      <c r="F230" s="190"/>
      <c r="G230" s="190"/>
      <c r="H230" s="190"/>
      <c r="I230" s="190"/>
      <c r="J230" s="190"/>
      <c r="K230" s="190"/>
    </row>
    <row r="231" spans="1:11" x14ac:dyDescent="0.2">
      <c r="A231" s="189"/>
      <c r="B231" s="189"/>
      <c r="C231" s="189"/>
      <c r="D231" s="189"/>
      <c r="E231" s="190"/>
      <c r="F231" s="190"/>
      <c r="G231" s="190"/>
      <c r="H231" s="190"/>
      <c r="I231" s="190"/>
      <c r="J231" s="190"/>
      <c r="K231" s="190"/>
    </row>
    <row r="232" spans="1:11" x14ac:dyDescent="0.2">
      <c r="A232" s="192"/>
      <c r="B232" s="192"/>
      <c r="C232" s="192"/>
      <c r="D232" s="192"/>
      <c r="E232" s="193"/>
      <c r="F232" s="194"/>
      <c r="G232" s="194"/>
      <c r="H232" s="194"/>
      <c r="I232" s="194"/>
      <c r="J232" s="194"/>
      <c r="K232" s="195"/>
    </row>
    <row r="233" spans="1:11" x14ac:dyDescent="0.2">
      <c r="A233" s="171"/>
      <c r="B233" s="171"/>
      <c r="C233" s="171"/>
      <c r="D233" s="171"/>
      <c r="E233" s="190"/>
      <c r="F233" s="190"/>
      <c r="G233" s="190"/>
      <c r="H233" s="190"/>
      <c r="I233" s="190"/>
      <c r="J233" s="190"/>
      <c r="K233" s="190"/>
    </row>
    <row r="234" spans="1:11" x14ac:dyDescent="0.2">
      <c r="A234" s="171"/>
      <c r="B234" s="171"/>
      <c r="C234" s="171"/>
      <c r="D234" s="171"/>
      <c r="E234" s="190"/>
      <c r="F234" s="190"/>
      <c r="G234" s="190"/>
      <c r="H234" s="190"/>
      <c r="I234" s="190"/>
      <c r="J234" s="190"/>
      <c r="K234" s="190"/>
    </row>
    <row r="235" spans="1:11" x14ac:dyDescent="0.2">
      <c r="A235" s="171"/>
      <c r="B235" s="171"/>
      <c r="C235" s="171"/>
      <c r="D235" s="171"/>
      <c r="E235" s="190"/>
      <c r="F235" s="190"/>
      <c r="G235" s="190"/>
      <c r="H235" s="190"/>
      <c r="I235" s="190"/>
      <c r="J235" s="190"/>
      <c r="K235" s="190"/>
    </row>
    <row r="236" spans="1:11" x14ac:dyDescent="0.2">
      <c r="A236" s="171"/>
      <c r="B236" s="171"/>
      <c r="C236" s="171"/>
      <c r="D236" s="171"/>
      <c r="E236" s="190"/>
      <c r="F236" s="190"/>
      <c r="G236" s="190"/>
      <c r="H236" s="190"/>
      <c r="I236" s="190"/>
      <c r="J236" s="190"/>
      <c r="K236" s="190"/>
    </row>
    <row r="237" spans="1:11" x14ac:dyDescent="0.2">
      <c r="A237" s="171"/>
      <c r="B237" s="171"/>
      <c r="C237" s="171"/>
      <c r="D237" s="171"/>
      <c r="E237" s="190"/>
      <c r="F237" s="190"/>
      <c r="G237" s="190"/>
      <c r="H237" s="190"/>
      <c r="I237" s="190"/>
      <c r="J237" s="190"/>
      <c r="K237" s="190"/>
    </row>
    <row r="238" spans="1:11" x14ac:dyDescent="0.2">
      <c r="A238" s="171"/>
      <c r="B238" s="171"/>
      <c r="C238" s="171"/>
      <c r="D238" s="171"/>
      <c r="E238" s="190"/>
      <c r="F238" s="190"/>
      <c r="G238" s="190"/>
      <c r="H238" s="190"/>
      <c r="I238" s="190"/>
      <c r="J238" s="190"/>
      <c r="K238" s="190"/>
    </row>
    <row r="239" spans="1:11" x14ac:dyDescent="0.2">
      <c r="A239" s="171"/>
      <c r="B239" s="171"/>
      <c r="C239" s="171"/>
      <c r="D239" s="171"/>
      <c r="E239" s="190"/>
      <c r="F239" s="190"/>
      <c r="G239" s="190"/>
      <c r="H239" s="190"/>
      <c r="I239" s="190"/>
      <c r="J239" s="190"/>
      <c r="K239" s="190"/>
    </row>
    <row r="240" spans="1:11" x14ac:dyDescent="0.2">
      <c r="A240" s="171"/>
      <c r="B240" s="171"/>
      <c r="C240" s="171"/>
      <c r="D240" s="171"/>
      <c r="E240" s="190"/>
      <c r="F240" s="190"/>
      <c r="G240" s="190"/>
      <c r="H240" s="190"/>
      <c r="I240" s="190"/>
      <c r="J240" s="190"/>
      <c r="K240" s="190"/>
    </row>
    <row r="241" spans="1:11" x14ac:dyDescent="0.2">
      <c r="A241" s="171"/>
      <c r="B241" s="171"/>
      <c r="C241" s="171"/>
      <c r="D241" s="171"/>
      <c r="E241" s="190"/>
      <c r="F241" s="190"/>
      <c r="G241" s="190"/>
      <c r="H241" s="190"/>
      <c r="I241" s="190"/>
      <c r="J241" s="190"/>
      <c r="K241" s="190"/>
    </row>
    <row r="242" spans="1:11" x14ac:dyDescent="0.2">
      <c r="A242" s="171"/>
      <c r="B242" s="171"/>
      <c r="C242" s="171"/>
      <c r="D242" s="171"/>
      <c r="E242" s="190"/>
      <c r="F242" s="190"/>
      <c r="G242" s="190"/>
      <c r="H242" s="190"/>
      <c r="I242" s="190"/>
      <c r="J242" s="190"/>
      <c r="K242" s="190"/>
    </row>
    <row r="243" spans="1:11" x14ac:dyDescent="0.2">
      <c r="A243" s="171"/>
      <c r="B243" s="171"/>
      <c r="C243" s="171"/>
      <c r="D243" s="171"/>
      <c r="E243" s="190"/>
      <c r="F243" s="190"/>
      <c r="G243" s="190"/>
      <c r="H243" s="190"/>
      <c r="I243" s="190"/>
      <c r="J243" s="190"/>
      <c r="K243" s="190"/>
    </row>
    <row r="244" spans="1:11" x14ac:dyDescent="0.2">
      <c r="A244" s="171"/>
      <c r="B244" s="171"/>
      <c r="C244" s="171"/>
      <c r="D244" s="171"/>
      <c r="E244" s="190"/>
      <c r="F244" s="190"/>
      <c r="G244" s="190"/>
      <c r="H244" s="190"/>
      <c r="I244" s="190"/>
      <c r="J244" s="190"/>
      <c r="K244" s="190"/>
    </row>
    <row r="245" spans="1:11" x14ac:dyDescent="0.2">
      <c r="A245" s="171"/>
      <c r="B245" s="171"/>
      <c r="C245" s="171"/>
      <c r="D245" s="171"/>
      <c r="E245" s="190"/>
      <c r="F245" s="190"/>
      <c r="G245" s="190"/>
      <c r="H245" s="190"/>
      <c r="I245" s="190"/>
      <c r="J245" s="190"/>
      <c r="K245" s="190"/>
    </row>
    <row r="246" spans="1:11" ht="28.5" customHeight="1" x14ac:dyDescent="0.2">
      <c r="A246" s="171"/>
      <c r="B246" s="171"/>
      <c r="C246" s="171"/>
      <c r="D246" s="171"/>
      <c r="E246" s="190"/>
      <c r="F246" s="190"/>
      <c r="G246" s="190"/>
      <c r="H246" s="190"/>
      <c r="I246" s="190"/>
      <c r="J246" s="190"/>
      <c r="K246" s="190"/>
    </row>
    <row r="247" spans="1:11" ht="28.5" customHeight="1" x14ac:dyDescent="0.2">
      <c r="A247" s="171"/>
      <c r="B247" s="171"/>
      <c r="C247" s="171"/>
      <c r="D247" s="171"/>
      <c r="E247" s="190"/>
      <c r="F247" s="190"/>
      <c r="G247" s="190"/>
      <c r="H247" s="190"/>
      <c r="I247" s="190"/>
      <c r="J247" s="190"/>
      <c r="K247" s="190"/>
    </row>
    <row r="248" spans="1:11" ht="12.95" customHeight="1" x14ac:dyDescent="0.2">
      <c r="A248" s="171"/>
      <c r="B248" s="171"/>
      <c r="C248" s="171"/>
      <c r="D248" s="171"/>
      <c r="E248" s="190"/>
      <c r="F248" s="190"/>
      <c r="G248" s="190"/>
      <c r="H248" s="190"/>
      <c r="I248" s="190"/>
      <c r="J248" s="190"/>
      <c r="K248" s="190"/>
    </row>
    <row r="249" spans="1:11" ht="12.95" customHeight="1" x14ac:dyDescent="0.2">
      <c r="A249" s="170"/>
      <c r="B249" s="171"/>
      <c r="C249" s="171"/>
      <c r="D249" s="171"/>
      <c r="E249" s="192"/>
      <c r="F249" s="225"/>
      <c r="G249" s="225"/>
      <c r="H249" s="225"/>
      <c r="I249" s="192"/>
      <c r="J249" s="225"/>
      <c r="K249" s="225"/>
    </row>
    <row r="250" spans="1:11" ht="12.9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</row>
    <row r="251" spans="1:11" ht="12.95" customHeight="1" x14ac:dyDescent="0.2">
      <c r="A251" s="14"/>
      <c r="B251" s="171"/>
      <c r="C251" s="171"/>
      <c r="D251" s="171"/>
      <c r="E251" s="14"/>
      <c r="F251" s="14"/>
      <c r="G251" s="232"/>
      <c r="H251" s="233"/>
      <c r="I251" s="233"/>
      <c r="J251" s="234"/>
      <c r="K251" s="14"/>
    </row>
    <row r="252" spans="1:11" ht="39.75" customHeight="1" x14ac:dyDescent="0.2">
      <c r="A252" s="14"/>
      <c r="B252" s="171"/>
      <c r="C252" s="171"/>
      <c r="D252" s="171"/>
      <c r="E252" s="14"/>
      <c r="F252" s="14"/>
      <c r="G252" s="235"/>
      <c r="H252" s="236"/>
      <c r="I252" s="236"/>
      <c r="J252" s="237"/>
      <c r="K252" s="14"/>
    </row>
    <row r="253" spans="1:11" ht="39.75" customHeight="1" x14ac:dyDescent="0.2">
      <c r="A253" s="14"/>
      <c r="B253" s="171"/>
      <c r="C253" s="171"/>
      <c r="D253" s="171"/>
      <c r="E253" s="14"/>
      <c r="F253" s="14"/>
      <c r="G253" s="238"/>
      <c r="H253" s="239"/>
      <c r="I253" s="239"/>
      <c r="J253" s="240"/>
      <c r="K253" s="14"/>
    </row>
    <row r="254" spans="1:11" ht="39.75" customHeight="1" x14ac:dyDescent="0.2">
      <c r="A254" s="14"/>
      <c r="B254" s="127" t="s">
        <v>90</v>
      </c>
      <c r="C254" s="127"/>
      <c r="D254" s="127"/>
      <c r="E254" s="14"/>
      <c r="F254" s="14"/>
      <c r="G254" s="241" t="s">
        <v>91</v>
      </c>
      <c r="H254" s="242"/>
      <c r="I254" s="242"/>
      <c r="J254" s="243"/>
      <c r="K254" s="14"/>
    </row>
  </sheetData>
  <mergeCells count="255">
    <mergeCell ref="B254:D254"/>
    <mergeCell ref="G254:J254"/>
    <mergeCell ref="A249:D249"/>
    <mergeCell ref="E249:H249"/>
    <mergeCell ref="I249:K249"/>
    <mergeCell ref="A250:K250"/>
    <mergeCell ref="B251:D253"/>
    <mergeCell ref="G251:J253"/>
    <mergeCell ref="A216:D231"/>
    <mergeCell ref="E216:H231"/>
    <mergeCell ref="I216:K231"/>
    <mergeCell ref="A232:D232"/>
    <mergeCell ref="E232:K232"/>
    <mergeCell ref="A233:D248"/>
    <mergeCell ref="E233:H248"/>
    <mergeCell ref="I233:K248"/>
    <mergeCell ref="A210:K210"/>
    <mergeCell ref="A211:K211"/>
    <mergeCell ref="A212:K212"/>
    <mergeCell ref="A213:K213"/>
    <mergeCell ref="A214:K214"/>
    <mergeCell ref="A215:K215"/>
    <mergeCell ref="A206:B206"/>
    <mergeCell ref="C206:K206"/>
    <mergeCell ref="A207:B207"/>
    <mergeCell ref="C207:K207"/>
    <mergeCell ref="A208:K208"/>
    <mergeCell ref="A209:K209"/>
    <mergeCell ref="A203:B203"/>
    <mergeCell ref="C203:K203"/>
    <mergeCell ref="A204:B204"/>
    <mergeCell ref="C204:K204"/>
    <mergeCell ref="A205:B205"/>
    <mergeCell ref="C205:K205"/>
    <mergeCell ref="A199:B199"/>
    <mergeCell ref="C199:K199"/>
    <mergeCell ref="A200:K200"/>
    <mergeCell ref="A201:B201"/>
    <mergeCell ref="C201:K201"/>
    <mergeCell ref="A202:B202"/>
    <mergeCell ref="C202:K202"/>
    <mergeCell ref="A196:B196"/>
    <mergeCell ref="C196:K196"/>
    <mergeCell ref="A197:B197"/>
    <mergeCell ref="C197:K197"/>
    <mergeCell ref="A198:B198"/>
    <mergeCell ref="C198:K198"/>
    <mergeCell ref="A193:B193"/>
    <mergeCell ref="C193:K193"/>
    <mergeCell ref="A194:B194"/>
    <mergeCell ref="C194:K194"/>
    <mergeCell ref="A195:B195"/>
    <mergeCell ref="C195:K195"/>
    <mergeCell ref="A187:C187"/>
    <mergeCell ref="B188:C188"/>
    <mergeCell ref="B189:C189"/>
    <mergeCell ref="B190:C190"/>
    <mergeCell ref="A191:C191"/>
    <mergeCell ref="A192:K192"/>
    <mergeCell ref="B181:C181"/>
    <mergeCell ref="B182:C182"/>
    <mergeCell ref="A183:C183"/>
    <mergeCell ref="A184:C184"/>
    <mergeCell ref="A185:K185"/>
    <mergeCell ref="A186:K186"/>
    <mergeCell ref="B175:C175"/>
    <mergeCell ref="B176:C176"/>
    <mergeCell ref="B177:C177"/>
    <mergeCell ref="B178:C178"/>
    <mergeCell ref="B179:C179"/>
    <mergeCell ref="B180:C180"/>
    <mergeCell ref="A169:K169"/>
    <mergeCell ref="A170:C170"/>
    <mergeCell ref="B171:C171"/>
    <mergeCell ref="B172:C172"/>
    <mergeCell ref="B173:C173"/>
    <mergeCell ref="B174:C174"/>
    <mergeCell ref="B157:C157"/>
    <mergeCell ref="A158:C158"/>
    <mergeCell ref="A159:C159"/>
    <mergeCell ref="A160:K160"/>
    <mergeCell ref="A166:K166"/>
    <mergeCell ref="A167:K167"/>
    <mergeCell ref="A147:K151"/>
    <mergeCell ref="A152:K152"/>
    <mergeCell ref="A153:C153"/>
    <mergeCell ref="B154:C154"/>
    <mergeCell ref="B155:C155"/>
    <mergeCell ref="B156:C156"/>
    <mergeCell ref="A141:C141"/>
    <mergeCell ref="A142:K142"/>
    <mergeCell ref="A143:C143"/>
    <mergeCell ref="B144:C144"/>
    <mergeCell ref="B145:C145"/>
    <mergeCell ref="A146:C146"/>
    <mergeCell ref="B135:C135"/>
    <mergeCell ref="B136:C136"/>
    <mergeCell ref="A137:C137"/>
    <mergeCell ref="A138:K138"/>
    <mergeCell ref="A139:C139"/>
    <mergeCell ref="B140:C140"/>
    <mergeCell ref="A131:B131"/>
    <mergeCell ref="E131:G131"/>
    <mergeCell ref="H131:K131"/>
    <mergeCell ref="A132:K132"/>
    <mergeCell ref="A133:C133"/>
    <mergeCell ref="B134:C134"/>
    <mergeCell ref="A129:B129"/>
    <mergeCell ref="E129:G129"/>
    <mergeCell ref="H129:K129"/>
    <mergeCell ref="A130:B130"/>
    <mergeCell ref="E130:G130"/>
    <mergeCell ref="H130:K130"/>
    <mergeCell ref="J120:K120"/>
    <mergeCell ref="A125:K125"/>
    <mergeCell ref="A126:K126"/>
    <mergeCell ref="A127:K127"/>
    <mergeCell ref="A128:B128"/>
    <mergeCell ref="E128:G128"/>
    <mergeCell ref="H128:K128"/>
    <mergeCell ref="A117:B117"/>
    <mergeCell ref="D117:F117"/>
    <mergeCell ref="A118:B118"/>
    <mergeCell ref="D118:F118"/>
    <mergeCell ref="A119:I119"/>
    <mergeCell ref="A120:I120"/>
    <mergeCell ref="A114:B114"/>
    <mergeCell ref="D114:F114"/>
    <mergeCell ref="A115:B115"/>
    <mergeCell ref="D115:F115"/>
    <mergeCell ref="A116:B116"/>
    <mergeCell ref="D116:F116"/>
    <mergeCell ref="A111:B111"/>
    <mergeCell ref="D111:F111"/>
    <mergeCell ref="A112:B112"/>
    <mergeCell ref="D112:F112"/>
    <mergeCell ref="A113:B113"/>
    <mergeCell ref="D113:F113"/>
    <mergeCell ref="A103:B103"/>
    <mergeCell ref="D103:F103"/>
    <mergeCell ref="A109:B109"/>
    <mergeCell ref="D109:F109"/>
    <mergeCell ref="A110:B110"/>
    <mergeCell ref="D110:F110"/>
    <mergeCell ref="A99:K99"/>
    <mergeCell ref="A100:B100"/>
    <mergeCell ref="D100:F100"/>
    <mergeCell ref="A101:B101"/>
    <mergeCell ref="D101:F101"/>
    <mergeCell ref="A102:B102"/>
    <mergeCell ref="D102:F102"/>
    <mergeCell ref="A104:B104"/>
    <mergeCell ref="D104:F104"/>
    <mergeCell ref="A105:B105"/>
    <mergeCell ref="D105:F105"/>
    <mergeCell ref="A106:B106"/>
    <mergeCell ref="D106:F106"/>
    <mergeCell ref="A107:B107"/>
    <mergeCell ref="D107:F107"/>
    <mergeCell ref="A108:B108"/>
    <mergeCell ref="D108:F108"/>
    <mergeCell ref="B93:C93"/>
    <mergeCell ref="B94:C94"/>
    <mergeCell ref="A95:C95"/>
    <mergeCell ref="A96:K96"/>
    <mergeCell ref="A97:K97"/>
    <mergeCell ref="A98:K98"/>
    <mergeCell ref="B87:C87"/>
    <mergeCell ref="B88:C88"/>
    <mergeCell ref="B89:C89"/>
    <mergeCell ref="B90:C90"/>
    <mergeCell ref="B91:C91"/>
    <mergeCell ref="B92:C92"/>
    <mergeCell ref="A71:C71"/>
    <mergeCell ref="A72:C72"/>
    <mergeCell ref="B78:C78"/>
    <mergeCell ref="A83:K83"/>
    <mergeCell ref="A84:C86"/>
    <mergeCell ref="D84:K84"/>
    <mergeCell ref="K85:K86"/>
    <mergeCell ref="A65:C65"/>
    <mergeCell ref="A66:C66"/>
    <mergeCell ref="B67:C67"/>
    <mergeCell ref="B68:C68"/>
    <mergeCell ref="B69:C69"/>
    <mergeCell ref="B70:C70"/>
    <mergeCell ref="D58:K58"/>
    <mergeCell ref="K59:K60"/>
    <mergeCell ref="B61:C61"/>
    <mergeCell ref="B62:C62"/>
    <mergeCell ref="B63:C63"/>
    <mergeCell ref="B64:C64"/>
    <mergeCell ref="B53:C53"/>
    <mergeCell ref="B54:C54"/>
    <mergeCell ref="B55:C55"/>
    <mergeCell ref="A56:C56"/>
    <mergeCell ref="A57:C57"/>
    <mergeCell ref="A58:C60"/>
    <mergeCell ref="B47:C47"/>
    <mergeCell ref="B48:C48"/>
    <mergeCell ref="B49:C49"/>
    <mergeCell ref="A50:C50"/>
    <mergeCell ref="A51:C51"/>
    <mergeCell ref="B52:C52"/>
    <mergeCell ref="A41:C41"/>
    <mergeCell ref="A42:C42"/>
    <mergeCell ref="A43:C45"/>
    <mergeCell ref="D43:K43"/>
    <mergeCell ref="K44:K45"/>
    <mergeCell ref="B46:C46"/>
    <mergeCell ref="A35:C35"/>
    <mergeCell ref="A36:C36"/>
    <mergeCell ref="B37:C37"/>
    <mergeCell ref="B38:C38"/>
    <mergeCell ref="B39:C39"/>
    <mergeCell ref="B40:C40"/>
    <mergeCell ref="D28:K28"/>
    <mergeCell ref="K29:K30"/>
    <mergeCell ref="B31:C31"/>
    <mergeCell ref="B32:C32"/>
    <mergeCell ref="B33:C33"/>
    <mergeCell ref="B34:C34"/>
    <mergeCell ref="B23:C23"/>
    <mergeCell ref="B24:C24"/>
    <mergeCell ref="B25:C25"/>
    <mergeCell ref="A26:C26"/>
    <mergeCell ref="A27:C27"/>
    <mergeCell ref="A28:C30"/>
    <mergeCell ref="B17:C17"/>
    <mergeCell ref="B18:C18"/>
    <mergeCell ref="B19:C19"/>
    <mergeCell ref="A20:C20"/>
    <mergeCell ref="A21:C21"/>
    <mergeCell ref="B22:C22"/>
    <mergeCell ref="A10:K10"/>
    <mergeCell ref="A11:K11"/>
    <mergeCell ref="A13:C15"/>
    <mergeCell ref="D13:K13"/>
    <mergeCell ref="K14:K15"/>
    <mergeCell ref="B16:C16"/>
    <mergeCell ref="A8:B8"/>
    <mergeCell ref="C8:F8"/>
    <mergeCell ref="G8:H8"/>
    <mergeCell ref="I8:K8"/>
    <mergeCell ref="A9:B9"/>
    <mergeCell ref="C9:F9"/>
    <mergeCell ref="G9:H9"/>
    <mergeCell ref="I9:K9"/>
    <mergeCell ref="A1:B4"/>
    <mergeCell ref="C1:I4"/>
    <mergeCell ref="A5:K5"/>
    <mergeCell ref="A6:B6"/>
    <mergeCell ref="C6:K6"/>
    <mergeCell ref="A7:B7"/>
    <mergeCell ref="C7:K7"/>
  </mergeCells>
  <dataValidations count="1">
    <dataValidation type="list" allowBlank="1" showInputMessage="1" showErrorMessage="1" sqref="C101:C118" xr:uid="{75B9C05C-BAFD-456F-BB1A-B7BC29FDC39D}">
      <formula1>$N$101:$N$104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A8D5-94F8-4022-83ED-14A776283BE4}">
  <sheetPr>
    <tabColor rgb="FFC00000"/>
    <pageSetUpPr fitToPage="1"/>
  </sheetPr>
  <dimension ref="A1:CN254"/>
  <sheetViews>
    <sheetView showGridLines="0" view="pageBreakPreview" topLeftCell="A112" zoomScale="68" zoomScaleNormal="70" zoomScaleSheetLayoutView="68" workbookViewId="0">
      <selection activeCell="O118" sqref="O118"/>
    </sheetView>
  </sheetViews>
  <sheetFormatPr baseColWidth="10" defaultColWidth="9.140625" defaultRowHeight="12.75" x14ac:dyDescent="0.2"/>
  <cols>
    <col min="1" max="1" width="4.42578125" customWidth="1"/>
    <col min="2" max="2" width="21.140625" customWidth="1"/>
    <col min="3" max="3" width="25.7109375" customWidth="1"/>
    <col min="4" max="10" width="14.7109375" customWidth="1"/>
    <col min="11" max="11" width="15.7109375" customWidth="1"/>
    <col min="16" max="16" width="17.7109375" style="25" bestFit="1" customWidth="1"/>
  </cols>
  <sheetData>
    <row r="1" spans="1:92" x14ac:dyDescent="0.2">
      <c r="A1" s="170"/>
      <c r="B1" s="170"/>
      <c r="C1" s="219" t="s">
        <v>0</v>
      </c>
      <c r="D1" s="219"/>
      <c r="E1" s="219"/>
      <c r="F1" s="219"/>
      <c r="G1" s="219"/>
      <c r="H1" s="219"/>
      <c r="I1" s="219"/>
      <c r="J1" s="16" t="s">
        <v>1</v>
      </c>
      <c r="K1" s="17" t="s">
        <v>2</v>
      </c>
    </row>
    <row r="2" spans="1:92" x14ac:dyDescent="0.2">
      <c r="A2" s="170"/>
      <c r="B2" s="170"/>
      <c r="C2" s="219"/>
      <c r="D2" s="219"/>
      <c r="E2" s="219"/>
      <c r="F2" s="219"/>
      <c r="G2" s="219"/>
      <c r="H2" s="219"/>
      <c r="I2" s="219"/>
      <c r="J2" s="16" t="s">
        <v>3</v>
      </c>
      <c r="K2" s="18" t="s">
        <v>168</v>
      </c>
      <c r="N2" s="25"/>
      <c r="P2"/>
      <c r="Q2" s="25"/>
      <c r="T2" s="25"/>
      <c r="W2" s="25"/>
      <c r="Z2" s="25"/>
      <c r="AC2" s="25"/>
      <c r="AF2" s="25"/>
      <c r="AI2" s="25"/>
      <c r="AL2" s="25"/>
      <c r="AO2" s="25"/>
      <c r="AR2" s="25"/>
      <c r="AU2" s="25"/>
      <c r="AX2" s="25"/>
      <c r="BA2" s="25"/>
      <c r="BD2" s="25"/>
      <c r="BG2" s="25"/>
      <c r="BJ2" s="25"/>
      <c r="BM2" s="25"/>
      <c r="BP2" s="25"/>
      <c r="BS2" s="25"/>
      <c r="BV2" s="25"/>
      <c r="BY2" s="25"/>
      <c r="CB2" s="25"/>
      <c r="CE2" s="25"/>
      <c r="CH2" s="25"/>
      <c r="CK2" s="25"/>
      <c r="CN2" s="25"/>
    </row>
    <row r="3" spans="1:92" x14ac:dyDescent="0.2">
      <c r="A3" s="170"/>
      <c r="B3" s="170"/>
      <c r="C3" s="219"/>
      <c r="D3" s="219"/>
      <c r="E3" s="219"/>
      <c r="F3" s="219"/>
      <c r="G3" s="219"/>
      <c r="H3" s="219"/>
      <c r="I3" s="219"/>
      <c r="J3" s="16" t="s">
        <v>4</v>
      </c>
      <c r="K3" s="19">
        <v>46119</v>
      </c>
      <c r="N3" s="25"/>
      <c r="P3"/>
      <c r="Q3" s="25"/>
      <c r="T3" s="25"/>
      <c r="W3" s="25"/>
      <c r="Z3" s="25"/>
      <c r="AC3" s="25"/>
      <c r="AF3" s="25"/>
      <c r="AI3" s="25"/>
      <c r="AL3" s="25"/>
      <c r="AO3" s="25"/>
      <c r="AR3" s="25"/>
      <c r="AU3" s="25"/>
      <c r="AX3" s="25"/>
      <c r="BA3" s="25"/>
      <c r="BD3" s="25"/>
      <c r="BG3" s="25"/>
      <c r="BJ3" s="25"/>
      <c r="BM3" s="25"/>
      <c r="BP3" s="25"/>
      <c r="BS3" s="25"/>
      <c r="BV3" s="25"/>
      <c r="BY3" s="25"/>
      <c r="CB3" s="25"/>
      <c r="CE3" s="25"/>
      <c r="CH3" s="25"/>
      <c r="CK3" s="25"/>
      <c r="CN3" s="25"/>
    </row>
    <row r="4" spans="1:92" x14ac:dyDescent="0.2">
      <c r="A4" s="170"/>
      <c r="B4" s="170"/>
      <c r="C4" s="219"/>
      <c r="D4" s="219"/>
      <c r="E4" s="219"/>
      <c r="F4" s="219"/>
      <c r="G4" s="219"/>
      <c r="H4" s="219"/>
      <c r="I4" s="219"/>
      <c r="J4" s="16" t="s">
        <v>5</v>
      </c>
      <c r="K4" s="18" t="s">
        <v>6</v>
      </c>
      <c r="N4" s="25"/>
      <c r="P4"/>
      <c r="Q4" s="25"/>
      <c r="T4" s="25"/>
      <c r="W4" s="25"/>
      <c r="Z4" s="25"/>
      <c r="AC4" s="25"/>
      <c r="AF4" s="25"/>
      <c r="AI4" s="25"/>
      <c r="AL4" s="25"/>
      <c r="AO4" s="25"/>
      <c r="AR4" s="25"/>
      <c r="AU4" s="25"/>
      <c r="AX4" s="25"/>
      <c r="BA4" s="25"/>
      <c r="BD4" s="25"/>
      <c r="BG4" s="25"/>
      <c r="BJ4" s="25"/>
      <c r="BM4" s="25"/>
      <c r="BP4" s="25"/>
      <c r="BS4" s="25"/>
      <c r="BV4" s="25"/>
      <c r="BY4" s="25"/>
      <c r="CB4" s="25"/>
      <c r="CE4" s="25"/>
      <c r="CH4" s="25"/>
      <c r="CK4" s="25"/>
      <c r="CN4" s="25"/>
    </row>
    <row r="5" spans="1:92" s="4" customFormat="1" ht="7.15" customHeight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5"/>
      <c r="M5"/>
      <c r="N5" s="25"/>
      <c r="O5"/>
      <c r="P5"/>
      <c r="Q5" s="25"/>
      <c r="R5"/>
      <c r="S5"/>
      <c r="T5" s="25"/>
      <c r="U5"/>
      <c r="V5"/>
      <c r="W5" s="25"/>
      <c r="X5"/>
      <c r="Y5"/>
      <c r="Z5" s="25"/>
      <c r="AA5"/>
      <c r="AB5"/>
      <c r="AC5" s="25"/>
      <c r="AD5"/>
      <c r="AE5"/>
      <c r="AF5" s="25"/>
      <c r="AG5"/>
      <c r="AH5"/>
      <c r="AI5" s="25"/>
      <c r="AJ5"/>
      <c r="AK5"/>
      <c r="AL5" s="25"/>
      <c r="AM5"/>
      <c r="AN5"/>
      <c r="AO5" s="25"/>
      <c r="AP5"/>
      <c r="AQ5"/>
      <c r="AR5" s="25"/>
      <c r="AS5"/>
      <c r="AT5"/>
      <c r="AU5" s="25"/>
      <c r="AV5"/>
      <c r="AW5"/>
      <c r="AX5" s="25"/>
      <c r="AY5"/>
      <c r="AZ5"/>
      <c r="BA5" s="25"/>
      <c r="BB5"/>
      <c r="BC5"/>
      <c r="BD5" s="25"/>
      <c r="BE5"/>
      <c r="BF5"/>
      <c r="BG5" s="25"/>
      <c r="BH5"/>
      <c r="BI5"/>
      <c r="BJ5" s="25"/>
      <c r="BK5"/>
      <c r="BL5"/>
      <c r="BM5" s="25"/>
      <c r="BN5"/>
      <c r="BO5"/>
      <c r="BP5" s="25"/>
      <c r="BQ5"/>
      <c r="BR5"/>
      <c r="BS5" s="25"/>
      <c r="BT5"/>
      <c r="BU5"/>
      <c r="BV5" s="25"/>
      <c r="BW5"/>
      <c r="BX5"/>
      <c r="BY5" s="25"/>
      <c r="BZ5"/>
      <c r="CA5"/>
      <c r="CB5" s="25"/>
      <c r="CC5"/>
      <c r="CD5"/>
      <c r="CE5" s="25"/>
      <c r="CF5"/>
      <c r="CG5"/>
      <c r="CH5" s="25"/>
      <c r="CI5"/>
      <c r="CJ5"/>
      <c r="CK5" s="25"/>
      <c r="CL5"/>
      <c r="CM5"/>
      <c r="CN5" s="25"/>
    </row>
    <row r="6" spans="1:92" ht="15.95" customHeight="1" x14ac:dyDescent="0.2">
      <c r="A6" s="119" t="s">
        <v>7</v>
      </c>
      <c r="B6" s="119"/>
      <c r="C6" s="131"/>
      <c r="D6" s="131"/>
      <c r="E6" s="131"/>
      <c r="F6" s="131"/>
      <c r="G6" s="131"/>
      <c r="H6" s="131"/>
      <c r="I6" s="131"/>
      <c r="J6" s="131"/>
      <c r="K6" s="13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15.95" customHeight="1" x14ac:dyDescent="0.2">
      <c r="A7" s="119" t="s">
        <v>8</v>
      </c>
      <c r="B7" s="119"/>
      <c r="C7" s="213"/>
      <c r="D7" s="214"/>
      <c r="E7" s="214"/>
      <c r="F7" s="214"/>
      <c r="G7" s="214"/>
      <c r="H7" s="214"/>
      <c r="I7" s="214"/>
      <c r="J7" s="214"/>
      <c r="K7" s="21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15.95" customHeight="1" x14ac:dyDescent="0.2">
      <c r="A8" s="119" t="s">
        <v>9</v>
      </c>
      <c r="B8" s="119"/>
      <c r="C8" s="205"/>
      <c r="D8" s="206"/>
      <c r="E8" s="206"/>
      <c r="F8" s="207"/>
      <c r="G8" s="208" t="s">
        <v>10</v>
      </c>
      <c r="H8" s="209"/>
      <c r="I8" s="210" t="s">
        <v>200</v>
      </c>
      <c r="J8" s="211"/>
      <c r="K8" s="212"/>
      <c r="N8" s="25"/>
      <c r="P8"/>
      <c r="Q8" s="25"/>
      <c r="T8" s="25"/>
      <c r="W8" s="25"/>
      <c r="Z8" s="25"/>
      <c r="AC8" s="25"/>
      <c r="AF8" s="25"/>
      <c r="AI8" s="25"/>
      <c r="AL8" s="25"/>
      <c r="AO8" s="25"/>
      <c r="AR8" s="25"/>
      <c r="AU8" s="25"/>
      <c r="AX8" s="25"/>
      <c r="BA8" s="25"/>
      <c r="BD8" s="25"/>
      <c r="BG8" s="25"/>
      <c r="BJ8" s="25"/>
      <c r="BM8" s="25"/>
      <c r="BP8" s="25"/>
      <c r="BS8" s="25"/>
      <c r="BV8" s="25"/>
      <c r="BY8" s="25"/>
      <c r="CB8" s="25"/>
      <c r="CE8" s="25"/>
      <c r="CH8" s="25"/>
      <c r="CK8" s="25"/>
      <c r="CN8" s="25"/>
    </row>
    <row r="9" spans="1:92" ht="15.95" customHeight="1" x14ac:dyDescent="0.2">
      <c r="A9" s="119" t="s">
        <v>11</v>
      </c>
      <c r="B9" s="119"/>
      <c r="C9" s="213"/>
      <c r="D9" s="214"/>
      <c r="E9" s="214"/>
      <c r="F9" s="215"/>
      <c r="G9" s="208" t="s">
        <v>12</v>
      </c>
      <c r="H9" s="209"/>
      <c r="I9" s="216"/>
      <c r="J9" s="217"/>
      <c r="K9" s="218"/>
      <c r="N9" s="25"/>
      <c r="P9"/>
      <c r="Q9" s="25"/>
      <c r="T9" s="25"/>
      <c r="W9" s="25"/>
      <c r="Z9" s="25"/>
      <c r="AC9" s="25"/>
      <c r="AF9" s="25"/>
      <c r="AI9" s="25"/>
      <c r="AL9" s="25"/>
      <c r="AO9" s="25"/>
      <c r="AR9" s="25"/>
      <c r="AU9" s="25"/>
      <c r="AX9" s="25"/>
      <c r="BA9" s="25"/>
      <c r="BD9" s="25"/>
      <c r="BG9" s="25"/>
      <c r="BJ9" s="25"/>
      <c r="BM9" s="25"/>
      <c r="BP9" s="25"/>
      <c r="BS9" s="25"/>
      <c r="BV9" s="25"/>
      <c r="BY9" s="25"/>
      <c r="CB9" s="25"/>
      <c r="CE9" s="25"/>
      <c r="CH9" s="25"/>
      <c r="CK9" s="25"/>
      <c r="CN9" s="25"/>
    </row>
    <row r="10" spans="1:92" s="4" customFormat="1" ht="7.15" customHeight="1" x14ac:dyDescent="0.2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5"/>
      <c r="M10"/>
      <c r="N10" s="25"/>
      <c r="O10"/>
      <c r="P10"/>
      <c r="Q10" s="25"/>
      <c r="R10"/>
      <c r="S10"/>
      <c r="T10" s="25"/>
      <c r="U10"/>
      <c r="V10"/>
      <c r="W10" s="25"/>
      <c r="X10"/>
      <c r="Y10"/>
      <c r="Z10" s="25"/>
      <c r="AA10"/>
      <c r="AB10"/>
      <c r="AC10" s="25"/>
      <c r="AD10"/>
      <c r="AE10"/>
      <c r="AF10" s="25"/>
      <c r="AG10"/>
      <c r="AH10"/>
      <c r="AI10" s="25"/>
      <c r="AJ10"/>
      <c r="AK10"/>
      <c r="AL10" s="25"/>
      <c r="AM10"/>
      <c r="AN10"/>
      <c r="AO10" s="25"/>
      <c r="AP10"/>
      <c r="AQ10"/>
      <c r="AR10" s="25"/>
      <c r="AS10"/>
      <c r="AT10"/>
      <c r="AU10" s="25"/>
      <c r="AV10"/>
      <c r="AW10"/>
      <c r="AX10" s="25"/>
      <c r="AY10"/>
      <c r="AZ10"/>
      <c r="BA10" s="25"/>
      <c r="BB10"/>
      <c r="BC10"/>
      <c r="BD10" s="25"/>
      <c r="BE10"/>
      <c r="BF10"/>
      <c r="BG10" s="25"/>
      <c r="BH10"/>
      <c r="BI10"/>
      <c r="BJ10" s="25"/>
      <c r="BK10"/>
      <c r="BL10"/>
      <c r="BM10" s="25"/>
      <c r="BN10"/>
      <c r="BO10"/>
      <c r="BP10" s="25"/>
      <c r="BQ10"/>
      <c r="BR10"/>
      <c r="BS10" s="25"/>
      <c r="BT10"/>
      <c r="BU10"/>
      <c r="BV10" s="25"/>
      <c r="BW10"/>
      <c r="BX10"/>
      <c r="BY10" s="25"/>
      <c r="BZ10"/>
      <c r="CA10"/>
      <c r="CB10" s="25"/>
      <c r="CC10"/>
      <c r="CD10"/>
      <c r="CE10" s="25"/>
      <c r="CF10"/>
      <c r="CG10"/>
      <c r="CH10" s="25"/>
      <c r="CI10"/>
      <c r="CJ10"/>
      <c r="CK10" s="25"/>
      <c r="CL10"/>
      <c r="CM10"/>
      <c r="CN10" s="25"/>
    </row>
    <row r="11" spans="1:92" s="5" customFormat="1" ht="27" customHeight="1" x14ac:dyDescent="0.2">
      <c r="A11" s="221" t="s">
        <v>169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3"/>
      <c r="M11"/>
      <c r="N11" s="25"/>
      <c r="O11"/>
      <c r="P11"/>
      <c r="Q11" s="25"/>
      <c r="R11"/>
      <c r="S11"/>
      <c r="T11" s="25"/>
      <c r="U11"/>
      <c r="V11"/>
      <c r="W11" s="25"/>
      <c r="X11"/>
      <c r="Y11"/>
      <c r="Z11" s="25"/>
      <c r="AA11"/>
      <c r="AB11"/>
      <c r="AC11" s="25"/>
      <c r="AD11"/>
      <c r="AE11"/>
      <c r="AF11" s="25"/>
      <c r="AG11"/>
      <c r="AH11"/>
      <c r="AI11" s="25"/>
      <c r="AJ11"/>
      <c r="AK11"/>
      <c r="AL11" s="25"/>
      <c r="AM11"/>
      <c r="AN11"/>
      <c r="AO11" s="25"/>
      <c r="AP11"/>
      <c r="AQ11"/>
      <c r="AR11" s="25"/>
      <c r="AS11"/>
      <c r="AT11"/>
      <c r="AU11" s="25"/>
      <c r="AV11"/>
      <c r="AW11"/>
      <c r="AX11" s="25"/>
      <c r="AY11"/>
      <c r="AZ11"/>
      <c r="BA11" s="25"/>
      <c r="BB11"/>
      <c r="BC11"/>
      <c r="BD11" s="25"/>
      <c r="BE11"/>
      <c r="BF11"/>
      <c r="BG11" s="25"/>
      <c r="BH11"/>
      <c r="BI11"/>
      <c r="BJ11" s="25"/>
      <c r="BK11"/>
      <c r="BL11"/>
      <c r="BM11" s="25"/>
      <c r="BN11"/>
      <c r="BO11"/>
      <c r="BP11" s="25"/>
      <c r="BQ11"/>
      <c r="BR11"/>
      <c r="BS11" s="25"/>
      <c r="BT11"/>
      <c r="BU11"/>
      <c r="BV11" s="25"/>
      <c r="BW11"/>
      <c r="BX11"/>
      <c r="BY11" s="25"/>
      <c r="BZ11"/>
      <c r="CA11"/>
      <c r="CB11" s="25"/>
      <c r="CC11"/>
      <c r="CD11"/>
      <c r="CE11" s="25"/>
      <c r="CF11"/>
      <c r="CG11"/>
      <c r="CH11" s="25"/>
      <c r="CI11"/>
      <c r="CJ11"/>
      <c r="CK11" s="25"/>
      <c r="CL11"/>
      <c r="CM11"/>
      <c r="CN11" s="25"/>
    </row>
    <row r="12" spans="1:92" s="5" customFormat="1" ht="6.75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0" customFormat="1" ht="15" customHeight="1" x14ac:dyDescent="0.2">
      <c r="A13" s="185" t="s">
        <v>13</v>
      </c>
      <c r="B13" s="185"/>
      <c r="C13" s="185"/>
      <c r="D13" s="202" t="s">
        <v>14</v>
      </c>
      <c r="E13" s="203"/>
      <c r="F13" s="203"/>
      <c r="G13" s="203"/>
      <c r="H13" s="203"/>
      <c r="I13" s="203"/>
      <c r="J13" s="203"/>
      <c r="K13" s="20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15" customHeight="1" x14ac:dyDescent="0.2">
      <c r="A14" s="185"/>
      <c r="B14" s="185"/>
      <c r="C14" s="185"/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85" t="s">
        <v>22</v>
      </c>
    </row>
    <row r="15" spans="1:92" s="8" customFormat="1" ht="15" customHeight="1" x14ac:dyDescent="0.2">
      <c r="A15" s="185"/>
      <c r="B15" s="185"/>
      <c r="C15" s="185"/>
      <c r="D15" s="21">
        <f>'SEMANA 04'!J15+1</f>
        <v>46139</v>
      </c>
      <c r="E15" s="21">
        <f t="shared" ref="E15:G15" si="0">D15+1</f>
        <v>46140</v>
      </c>
      <c r="F15" s="21">
        <f t="shared" si="0"/>
        <v>46141</v>
      </c>
      <c r="G15" s="21">
        <f t="shared" si="0"/>
        <v>46142</v>
      </c>
      <c r="H15" s="21"/>
      <c r="I15" s="21"/>
      <c r="J15" s="21"/>
      <c r="K15" s="185"/>
      <c r="P15" s="56"/>
    </row>
    <row r="16" spans="1:92" ht="15" customHeight="1" x14ac:dyDescent="0.2">
      <c r="A16" s="9">
        <v>1</v>
      </c>
      <c r="B16" s="118" t="s">
        <v>23</v>
      </c>
      <c r="C16" s="118"/>
      <c r="D16" s="26">
        <v>0</v>
      </c>
      <c r="E16" s="26">
        <v>0</v>
      </c>
      <c r="F16" s="26">
        <v>0</v>
      </c>
      <c r="G16" s="26">
        <v>0</v>
      </c>
      <c r="H16" s="89">
        <v>0</v>
      </c>
      <c r="I16" s="89">
        <v>0</v>
      </c>
      <c r="J16" s="89">
        <v>0</v>
      </c>
      <c r="K16" s="20">
        <f>AVERAGE(D16:G16)</f>
        <v>0</v>
      </c>
    </row>
    <row r="17" spans="1:16" ht="15" customHeight="1" x14ac:dyDescent="0.2">
      <c r="A17" s="9">
        <v>2</v>
      </c>
      <c r="B17" s="118" t="s">
        <v>24</v>
      </c>
      <c r="C17" s="118"/>
      <c r="D17" s="26">
        <v>0</v>
      </c>
      <c r="E17" s="26">
        <v>0</v>
      </c>
      <c r="F17" s="26">
        <v>0</v>
      </c>
      <c r="G17" s="26">
        <v>0</v>
      </c>
      <c r="H17" s="89">
        <v>0</v>
      </c>
      <c r="I17" s="89">
        <v>0</v>
      </c>
      <c r="J17" s="89">
        <v>0</v>
      </c>
      <c r="K17" s="20">
        <f t="shared" ref="K17:K19" si="1">AVERAGE(D17:G17)</f>
        <v>0</v>
      </c>
    </row>
    <row r="18" spans="1:16" ht="15" customHeight="1" x14ac:dyDescent="0.2">
      <c r="A18" s="9">
        <v>3</v>
      </c>
      <c r="B18" s="118" t="s">
        <v>25</v>
      </c>
      <c r="C18" s="118"/>
      <c r="D18" s="26">
        <v>0</v>
      </c>
      <c r="E18" s="26">
        <v>0</v>
      </c>
      <c r="F18" s="26">
        <v>0</v>
      </c>
      <c r="G18" s="26">
        <v>0</v>
      </c>
      <c r="H18" s="89">
        <v>0</v>
      </c>
      <c r="I18" s="89">
        <v>0</v>
      </c>
      <c r="J18" s="89">
        <v>0</v>
      </c>
      <c r="K18" s="20">
        <f t="shared" si="1"/>
        <v>0</v>
      </c>
    </row>
    <row r="19" spans="1:16" ht="15" customHeight="1" x14ac:dyDescent="0.2">
      <c r="A19" s="9">
        <v>4</v>
      </c>
      <c r="B19" s="118" t="s">
        <v>26</v>
      </c>
      <c r="C19" s="118"/>
      <c r="D19" s="26">
        <v>0</v>
      </c>
      <c r="E19" s="26">
        <v>0</v>
      </c>
      <c r="F19" s="26">
        <v>0</v>
      </c>
      <c r="G19" s="26">
        <v>0</v>
      </c>
      <c r="H19" s="89">
        <v>0</v>
      </c>
      <c r="I19" s="89">
        <v>0</v>
      </c>
      <c r="J19" s="89">
        <v>0</v>
      </c>
      <c r="K19" s="20">
        <f t="shared" si="1"/>
        <v>0</v>
      </c>
    </row>
    <row r="20" spans="1:16" s="6" customFormat="1" ht="15" customHeight="1" x14ac:dyDescent="0.2">
      <c r="A20" s="127" t="s">
        <v>27</v>
      </c>
      <c r="B20" s="127"/>
      <c r="C20" s="127"/>
      <c r="D20" s="11">
        <f t="shared" ref="D20:G21" si="2">D16+D18</f>
        <v>0</v>
      </c>
      <c r="E20" s="11">
        <f t="shared" si="2"/>
        <v>0</v>
      </c>
      <c r="F20" s="11">
        <f t="shared" si="2"/>
        <v>0</v>
      </c>
      <c r="G20" s="11">
        <f t="shared" si="2"/>
        <v>0</v>
      </c>
      <c r="H20" s="11">
        <f>H16+H18</f>
        <v>0</v>
      </c>
      <c r="I20" s="11">
        <f t="shared" ref="H20:J21" si="3">I16+I18</f>
        <v>0</v>
      </c>
      <c r="J20" s="11">
        <f t="shared" si="3"/>
        <v>0</v>
      </c>
      <c r="K20" s="11">
        <f>K16+K18</f>
        <v>0</v>
      </c>
    </row>
    <row r="21" spans="1:16" s="6" customFormat="1" ht="15" customHeight="1" x14ac:dyDescent="0.2">
      <c r="A21" s="127" t="s">
        <v>28</v>
      </c>
      <c r="B21" s="127"/>
      <c r="C21" s="127"/>
      <c r="D21" s="11">
        <f t="shared" si="2"/>
        <v>0</v>
      </c>
      <c r="E21" s="11">
        <f t="shared" si="2"/>
        <v>0</v>
      </c>
      <c r="F21" s="11">
        <f t="shared" si="2"/>
        <v>0</v>
      </c>
      <c r="G21" s="11">
        <f t="shared" si="2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>K17+K19</f>
        <v>0</v>
      </c>
    </row>
    <row r="22" spans="1:16" ht="15" customHeight="1" x14ac:dyDescent="0.2">
      <c r="A22" s="9">
        <v>5</v>
      </c>
      <c r="B22" s="118" t="s">
        <v>29</v>
      </c>
      <c r="C22" s="118"/>
      <c r="D22" s="26">
        <f t="shared" ref="D22:H25" si="4">D16*8.5</f>
        <v>0</v>
      </c>
      <c r="E22" s="26">
        <f t="shared" si="4"/>
        <v>0</v>
      </c>
      <c r="F22" s="26">
        <f t="shared" si="4"/>
        <v>0</v>
      </c>
      <c r="G22" s="26">
        <f t="shared" si="4"/>
        <v>0</v>
      </c>
      <c r="H22" s="89">
        <f>H16*8.5</f>
        <v>0</v>
      </c>
      <c r="I22" s="89">
        <f>I16*5.5</f>
        <v>0</v>
      </c>
      <c r="J22" s="89">
        <f>J16*5.5</f>
        <v>0</v>
      </c>
      <c r="K22" s="20">
        <f>SUM(D22:J22)</f>
        <v>0</v>
      </c>
    </row>
    <row r="23" spans="1:16" ht="15" customHeight="1" x14ac:dyDescent="0.2">
      <c r="A23" s="9">
        <v>6</v>
      </c>
      <c r="B23" s="118" t="s">
        <v>30</v>
      </c>
      <c r="C23" s="118"/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89">
        <f t="shared" si="4"/>
        <v>0</v>
      </c>
      <c r="I23" s="89">
        <f t="shared" ref="I23:J25" si="5">I17*5.5</f>
        <v>0</v>
      </c>
      <c r="J23" s="89">
        <f t="shared" si="5"/>
        <v>0</v>
      </c>
      <c r="K23" s="20">
        <f>SUM(D23:J23)</f>
        <v>0</v>
      </c>
    </row>
    <row r="24" spans="1:16" ht="15" customHeight="1" x14ac:dyDescent="0.2">
      <c r="A24" s="9">
        <v>7</v>
      </c>
      <c r="B24" s="118" t="s">
        <v>31</v>
      </c>
      <c r="C24" s="118"/>
      <c r="D24" s="26">
        <f t="shared" si="4"/>
        <v>0</v>
      </c>
      <c r="E24" s="26">
        <f t="shared" si="4"/>
        <v>0</v>
      </c>
      <c r="F24" s="26">
        <f>F18*8.5</f>
        <v>0</v>
      </c>
      <c r="G24" s="26">
        <f t="shared" si="4"/>
        <v>0</v>
      </c>
      <c r="H24" s="89">
        <f t="shared" si="4"/>
        <v>0</v>
      </c>
      <c r="I24" s="89">
        <f t="shared" si="5"/>
        <v>0</v>
      </c>
      <c r="J24" s="89">
        <f t="shared" si="5"/>
        <v>0</v>
      </c>
      <c r="K24" s="20">
        <f t="shared" ref="K24:K25" si="6">SUM(D24:J24)</f>
        <v>0</v>
      </c>
    </row>
    <row r="25" spans="1:16" ht="15" customHeight="1" x14ac:dyDescent="0.2">
      <c r="A25" s="9">
        <v>8</v>
      </c>
      <c r="B25" s="118" t="s">
        <v>32</v>
      </c>
      <c r="C25" s="118"/>
      <c r="D25" s="26">
        <f t="shared" si="4"/>
        <v>0</v>
      </c>
      <c r="E25" s="26">
        <f t="shared" si="4"/>
        <v>0</v>
      </c>
      <c r="F25" s="26">
        <f t="shared" si="4"/>
        <v>0</v>
      </c>
      <c r="G25" s="26">
        <f t="shared" si="4"/>
        <v>0</v>
      </c>
      <c r="H25" s="89">
        <f t="shared" si="4"/>
        <v>0</v>
      </c>
      <c r="I25" s="89">
        <f t="shared" si="5"/>
        <v>0</v>
      </c>
      <c r="J25" s="89">
        <f t="shared" si="5"/>
        <v>0</v>
      </c>
      <c r="K25" s="20">
        <f t="shared" si="6"/>
        <v>0</v>
      </c>
    </row>
    <row r="26" spans="1:16" s="6" customFormat="1" ht="15" customHeight="1" x14ac:dyDescent="0.2">
      <c r="A26" s="127" t="s">
        <v>33</v>
      </c>
      <c r="B26" s="127"/>
      <c r="C26" s="127"/>
      <c r="D26" s="11">
        <f>D22+D24</f>
        <v>0</v>
      </c>
      <c r="E26" s="11">
        <f t="shared" ref="E26:J27" si="7">E22+E24</f>
        <v>0</v>
      </c>
      <c r="F26" s="11">
        <f t="shared" si="7"/>
        <v>0</v>
      </c>
      <c r="G26" s="11">
        <f t="shared" si="7"/>
        <v>0</v>
      </c>
      <c r="H26" s="11">
        <f>H22+H24</f>
        <v>0</v>
      </c>
      <c r="I26" s="11">
        <f t="shared" ref="I26:J26" si="8">I22+I24</f>
        <v>0</v>
      </c>
      <c r="J26" s="11">
        <f t="shared" si="8"/>
        <v>0</v>
      </c>
      <c r="K26" s="11">
        <f>K22+K24</f>
        <v>0</v>
      </c>
    </row>
    <row r="27" spans="1:16" s="6" customFormat="1" ht="15" customHeight="1" x14ac:dyDescent="0.2">
      <c r="A27" s="127" t="s">
        <v>34</v>
      </c>
      <c r="B27" s="127"/>
      <c r="C27" s="127"/>
      <c r="D27" s="11">
        <f>D23+D25</f>
        <v>0</v>
      </c>
      <c r="E27" s="11">
        <f t="shared" si="7"/>
        <v>0</v>
      </c>
      <c r="F27" s="11">
        <f t="shared" si="7"/>
        <v>0</v>
      </c>
      <c r="G27" s="11">
        <f t="shared" si="7"/>
        <v>0</v>
      </c>
      <c r="H27" s="11">
        <f t="shared" si="7"/>
        <v>0</v>
      </c>
      <c r="I27" s="11">
        <f t="shared" si="7"/>
        <v>0</v>
      </c>
      <c r="J27" s="11">
        <f t="shared" si="7"/>
        <v>0</v>
      </c>
      <c r="K27" s="11">
        <f>K23+K25</f>
        <v>0</v>
      </c>
    </row>
    <row r="28" spans="1:16" s="10" customFormat="1" ht="15" customHeight="1" x14ac:dyDescent="0.2">
      <c r="A28" s="185" t="s">
        <v>13</v>
      </c>
      <c r="B28" s="185"/>
      <c r="C28" s="185"/>
      <c r="D28" s="202" t="s">
        <v>35</v>
      </c>
      <c r="E28" s="203"/>
      <c r="F28" s="203"/>
      <c r="G28" s="203"/>
      <c r="H28" s="203"/>
      <c r="I28" s="203"/>
      <c r="J28" s="203"/>
      <c r="K28" s="204"/>
    </row>
    <row r="29" spans="1:16" ht="15" customHeight="1" x14ac:dyDescent="0.2">
      <c r="A29" s="185"/>
      <c r="B29" s="185"/>
      <c r="C29" s="185"/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19</v>
      </c>
      <c r="I29" s="12" t="s">
        <v>20</v>
      </c>
      <c r="J29" s="12" t="s">
        <v>21</v>
      </c>
      <c r="K29" s="185" t="s">
        <v>22</v>
      </c>
    </row>
    <row r="30" spans="1:16" s="8" customFormat="1" ht="15" customHeight="1" x14ac:dyDescent="0.2">
      <c r="A30" s="185"/>
      <c r="B30" s="185"/>
      <c r="C30" s="185"/>
      <c r="D30" s="21">
        <f>D15</f>
        <v>46139</v>
      </c>
      <c r="E30" s="21">
        <f t="shared" ref="E30:G30" si="9">E15</f>
        <v>46140</v>
      </c>
      <c r="F30" s="21">
        <f t="shared" si="9"/>
        <v>46141</v>
      </c>
      <c r="G30" s="21">
        <f t="shared" si="9"/>
        <v>46142</v>
      </c>
      <c r="H30" s="21"/>
      <c r="I30" s="21"/>
      <c r="J30" s="21"/>
      <c r="K30" s="185"/>
      <c r="P30" s="56"/>
    </row>
    <row r="31" spans="1:16" ht="15" customHeight="1" x14ac:dyDescent="0.2">
      <c r="A31" s="9">
        <v>9</v>
      </c>
      <c r="B31" s="118" t="s">
        <v>23</v>
      </c>
      <c r="C31" s="118"/>
      <c r="D31" s="26">
        <v>0</v>
      </c>
      <c r="E31" s="26">
        <v>0</v>
      </c>
      <c r="F31" s="26">
        <v>0</v>
      </c>
      <c r="G31" s="26">
        <v>0</v>
      </c>
      <c r="H31" s="89">
        <v>0</v>
      </c>
      <c r="I31" s="89">
        <v>0</v>
      </c>
      <c r="J31" s="89">
        <v>0</v>
      </c>
      <c r="K31" s="20">
        <f>AVERAGE(D31:G31)</f>
        <v>0</v>
      </c>
    </row>
    <row r="32" spans="1:16" ht="15" customHeight="1" x14ac:dyDescent="0.2">
      <c r="A32" s="9">
        <v>10</v>
      </c>
      <c r="B32" s="118" t="s">
        <v>24</v>
      </c>
      <c r="C32" s="118"/>
      <c r="D32" s="26">
        <v>0</v>
      </c>
      <c r="E32" s="26">
        <v>0</v>
      </c>
      <c r="F32" s="26">
        <v>0</v>
      </c>
      <c r="G32" s="26">
        <v>0</v>
      </c>
      <c r="H32" s="89">
        <v>0</v>
      </c>
      <c r="I32" s="89">
        <v>0</v>
      </c>
      <c r="J32" s="89">
        <v>0</v>
      </c>
      <c r="K32" s="20">
        <f>AVERAGE(D32:G32)</f>
        <v>0</v>
      </c>
    </row>
    <row r="33" spans="1:16" ht="15" customHeight="1" x14ac:dyDescent="0.2">
      <c r="A33" s="9">
        <v>11</v>
      </c>
      <c r="B33" s="118" t="s">
        <v>25</v>
      </c>
      <c r="C33" s="118"/>
      <c r="D33" s="26">
        <v>0</v>
      </c>
      <c r="E33" s="26">
        <v>0</v>
      </c>
      <c r="F33" s="26">
        <v>0</v>
      </c>
      <c r="G33" s="26">
        <v>0</v>
      </c>
      <c r="H33" s="89">
        <v>0</v>
      </c>
      <c r="I33" s="89">
        <v>0</v>
      </c>
      <c r="J33" s="89">
        <v>0</v>
      </c>
      <c r="K33" s="20">
        <f t="shared" ref="K33:K34" si="10">AVERAGE(D33:G33)</f>
        <v>0</v>
      </c>
    </row>
    <row r="34" spans="1:16" ht="15" customHeight="1" x14ac:dyDescent="0.2">
      <c r="A34" s="9">
        <v>12</v>
      </c>
      <c r="B34" s="118" t="s">
        <v>26</v>
      </c>
      <c r="C34" s="118"/>
      <c r="D34" s="26">
        <v>0</v>
      </c>
      <c r="E34" s="26">
        <v>0</v>
      </c>
      <c r="F34" s="26">
        <v>0</v>
      </c>
      <c r="G34" s="26">
        <v>0</v>
      </c>
      <c r="H34" s="89">
        <v>0</v>
      </c>
      <c r="I34" s="89">
        <v>0</v>
      </c>
      <c r="J34" s="89">
        <v>0</v>
      </c>
      <c r="K34" s="20">
        <f t="shared" si="10"/>
        <v>0</v>
      </c>
    </row>
    <row r="35" spans="1:16" s="6" customFormat="1" ht="15" customHeight="1" x14ac:dyDescent="0.2">
      <c r="A35" s="127" t="s">
        <v>27</v>
      </c>
      <c r="B35" s="127"/>
      <c r="C35" s="127"/>
      <c r="D35" s="11">
        <f t="shared" ref="D35:J36" si="11">D31+D33</f>
        <v>0</v>
      </c>
      <c r="E35" s="11">
        <f t="shared" si="11"/>
        <v>0</v>
      </c>
      <c r="F35" s="11">
        <f t="shared" si="11"/>
        <v>0</v>
      </c>
      <c r="G35" s="11">
        <f t="shared" si="11"/>
        <v>0</v>
      </c>
      <c r="H35" s="11">
        <f>H31+H33</f>
        <v>0</v>
      </c>
      <c r="I35" s="11">
        <f t="shared" ref="I35:J35" si="12">I31+I33</f>
        <v>0</v>
      </c>
      <c r="J35" s="11">
        <f t="shared" si="12"/>
        <v>0</v>
      </c>
      <c r="K35" s="11">
        <f>K31+K33</f>
        <v>0</v>
      </c>
    </row>
    <row r="36" spans="1:16" s="6" customFormat="1" ht="15" customHeight="1" x14ac:dyDescent="0.2">
      <c r="A36" s="127" t="s">
        <v>28</v>
      </c>
      <c r="B36" s="127"/>
      <c r="C36" s="127"/>
      <c r="D36" s="11">
        <f t="shared" si="11"/>
        <v>0</v>
      </c>
      <c r="E36" s="11">
        <f t="shared" si="11"/>
        <v>0</v>
      </c>
      <c r="F36" s="11">
        <f t="shared" si="11"/>
        <v>0</v>
      </c>
      <c r="G36" s="11">
        <f t="shared" si="11"/>
        <v>0</v>
      </c>
      <c r="H36" s="11">
        <f t="shared" si="11"/>
        <v>0</v>
      </c>
      <c r="I36" s="11">
        <f t="shared" si="11"/>
        <v>0</v>
      </c>
      <c r="J36" s="11">
        <f t="shared" si="11"/>
        <v>0</v>
      </c>
      <c r="K36" s="11">
        <f>K32+K34</f>
        <v>0</v>
      </c>
    </row>
    <row r="37" spans="1:16" ht="15" customHeight="1" x14ac:dyDescent="0.2">
      <c r="A37" s="9">
        <v>13</v>
      </c>
      <c r="B37" s="118" t="s">
        <v>29</v>
      </c>
      <c r="C37" s="118"/>
      <c r="D37" s="26">
        <f t="shared" ref="D37:H40" si="13">D31*8.5</f>
        <v>0</v>
      </c>
      <c r="E37" s="26">
        <f t="shared" si="13"/>
        <v>0</v>
      </c>
      <c r="F37" s="26">
        <f t="shared" si="13"/>
        <v>0</v>
      </c>
      <c r="G37" s="26">
        <f t="shared" si="13"/>
        <v>0</v>
      </c>
      <c r="H37" s="89">
        <f>H31*8.5</f>
        <v>0</v>
      </c>
      <c r="I37" s="89">
        <f>I31*5.5</f>
        <v>0</v>
      </c>
      <c r="J37" s="89">
        <f>J31*5.5</f>
        <v>0</v>
      </c>
      <c r="K37" s="20">
        <f>SUM(D37:J37)</f>
        <v>0</v>
      </c>
    </row>
    <row r="38" spans="1:16" ht="15" customHeight="1" x14ac:dyDescent="0.2">
      <c r="A38" s="9">
        <v>14</v>
      </c>
      <c r="B38" s="118" t="s">
        <v>30</v>
      </c>
      <c r="C38" s="118"/>
      <c r="D38" s="26">
        <f t="shared" si="13"/>
        <v>0</v>
      </c>
      <c r="E38" s="26">
        <f t="shared" si="13"/>
        <v>0</v>
      </c>
      <c r="F38" s="26">
        <f t="shared" si="13"/>
        <v>0</v>
      </c>
      <c r="G38" s="26">
        <f t="shared" si="13"/>
        <v>0</v>
      </c>
      <c r="H38" s="89">
        <f t="shared" si="13"/>
        <v>0</v>
      </c>
      <c r="I38" s="89">
        <f t="shared" ref="I38:J40" si="14">I32*5.5</f>
        <v>0</v>
      </c>
      <c r="J38" s="89">
        <f t="shared" si="14"/>
        <v>0</v>
      </c>
      <c r="K38" s="20">
        <f t="shared" ref="K38:K40" si="15">SUM(D38:J38)</f>
        <v>0</v>
      </c>
    </row>
    <row r="39" spans="1:16" ht="15" customHeight="1" x14ac:dyDescent="0.2">
      <c r="A39" s="9">
        <v>15</v>
      </c>
      <c r="B39" s="118" t="s">
        <v>31</v>
      </c>
      <c r="C39" s="118"/>
      <c r="D39" s="26">
        <f t="shared" si="13"/>
        <v>0</v>
      </c>
      <c r="E39" s="26">
        <f t="shared" si="13"/>
        <v>0</v>
      </c>
      <c r="F39" s="26">
        <f>F33*8.5</f>
        <v>0</v>
      </c>
      <c r="G39" s="26">
        <f t="shared" si="13"/>
        <v>0</v>
      </c>
      <c r="H39" s="89">
        <f t="shared" si="13"/>
        <v>0</v>
      </c>
      <c r="I39" s="89">
        <f t="shared" si="14"/>
        <v>0</v>
      </c>
      <c r="J39" s="89">
        <f t="shared" si="14"/>
        <v>0</v>
      </c>
      <c r="K39" s="20">
        <f t="shared" si="15"/>
        <v>0</v>
      </c>
    </row>
    <row r="40" spans="1:16" ht="15" customHeight="1" x14ac:dyDescent="0.2">
      <c r="A40" s="9">
        <v>16</v>
      </c>
      <c r="B40" s="118" t="s">
        <v>32</v>
      </c>
      <c r="C40" s="118"/>
      <c r="D40" s="26">
        <f t="shared" si="13"/>
        <v>0</v>
      </c>
      <c r="E40" s="26">
        <f t="shared" si="13"/>
        <v>0</v>
      </c>
      <c r="F40" s="26">
        <f t="shared" si="13"/>
        <v>0</v>
      </c>
      <c r="G40" s="26">
        <f t="shared" si="13"/>
        <v>0</v>
      </c>
      <c r="H40" s="89">
        <f t="shared" si="13"/>
        <v>0</v>
      </c>
      <c r="I40" s="89">
        <f t="shared" si="14"/>
        <v>0</v>
      </c>
      <c r="J40" s="89">
        <f t="shared" si="14"/>
        <v>0</v>
      </c>
      <c r="K40" s="20">
        <f t="shared" si="15"/>
        <v>0</v>
      </c>
    </row>
    <row r="41" spans="1:16" s="6" customFormat="1" ht="15" customHeight="1" x14ac:dyDescent="0.2">
      <c r="A41" s="127" t="s">
        <v>33</v>
      </c>
      <c r="B41" s="127"/>
      <c r="C41" s="127"/>
      <c r="D41" s="11">
        <f>D37+D39</f>
        <v>0</v>
      </c>
      <c r="E41" s="11">
        <f t="shared" ref="E41:J42" si="16">E37+E39</f>
        <v>0</v>
      </c>
      <c r="F41" s="11">
        <f t="shared" si="16"/>
        <v>0</v>
      </c>
      <c r="G41" s="11">
        <f t="shared" si="16"/>
        <v>0</v>
      </c>
      <c r="H41" s="11">
        <f>H37+H39</f>
        <v>0</v>
      </c>
      <c r="I41" s="11">
        <f t="shared" ref="I41:J41" si="17">I37+I39</f>
        <v>0</v>
      </c>
      <c r="J41" s="11">
        <f t="shared" si="17"/>
        <v>0</v>
      </c>
      <c r="K41" s="11">
        <f>K37+K39</f>
        <v>0</v>
      </c>
    </row>
    <row r="42" spans="1:16" s="6" customFormat="1" ht="15" customHeight="1" x14ac:dyDescent="0.2">
      <c r="A42" s="127" t="s">
        <v>34</v>
      </c>
      <c r="B42" s="127"/>
      <c r="C42" s="127"/>
      <c r="D42" s="11">
        <f>D38+D40</f>
        <v>0</v>
      </c>
      <c r="E42" s="11">
        <f t="shared" si="16"/>
        <v>0</v>
      </c>
      <c r="F42" s="11">
        <f t="shared" si="16"/>
        <v>0</v>
      </c>
      <c r="G42" s="11">
        <f t="shared" si="16"/>
        <v>0</v>
      </c>
      <c r="H42" s="11">
        <f t="shared" si="16"/>
        <v>0</v>
      </c>
      <c r="I42" s="11">
        <f t="shared" si="16"/>
        <v>0</v>
      </c>
      <c r="J42" s="11">
        <f t="shared" si="16"/>
        <v>0</v>
      </c>
      <c r="K42" s="11">
        <f>K38+K40</f>
        <v>0</v>
      </c>
    </row>
    <row r="43" spans="1:16" s="10" customFormat="1" ht="15" customHeight="1" x14ac:dyDescent="0.2">
      <c r="A43" s="185" t="s">
        <v>13</v>
      </c>
      <c r="B43" s="185"/>
      <c r="C43" s="185"/>
      <c r="D43" s="202" t="s">
        <v>36</v>
      </c>
      <c r="E43" s="203"/>
      <c r="F43" s="203"/>
      <c r="G43" s="203"/>
      <c r="H43" s="203"/>
      <c r="I43" s="203"/>
      <c r="J43" s="203"/>
      <c r="K43" s="204"/>
    </row>
    <row r="44" spans="1:16" ht="15" customHeight="1" x14ac:dyDescent="0.2">
      <c r="A44" s="185"/>
      <c r="B44" s="185"/>
      <c r="C44" s="185"/>
      <c r="D44" s="12" t="s">
        <v>15</v>
      </c>
      <c r="E44" s="12" t="s">
        <v>16</v>
      </c>
      <c r="F44" s="12" t="s">
        <v>17</v>
      </c>
      <c r="G44" s="12" t="s">
        <v>18</v>
      </c>
      <c r="H44" s="12" t="s">
        <v>19</v>
      </c>
      <c r="I44" s="12" t="s">
        <v>20</v>
      </c>
      <c r="J44" s="12" t="s">
        <v>21</v>
      </c>
      <c r="K44" s="185" t="s">
        <v>22</v>
      </c>
    </row>
    <row r="45" spans="1:16" s="8" customFormat="1" ht="15" customHeight="1" x14ac:dyDescent="0.2">
      <c r="A45" s="185"/>
      <c r="B45" s="185"/>
      <c r="C45" s="185"/>
      <c r="D45" s="21">
        <f>D30</f>
        <v>46139</v>
      </c>
      <c r="E45" s="21">
        <f t="shared" ref="E45:G45" si="18">E30</f>
        <v>46140</v>
      </c>
      <c r="F45" s="21">
        <f t="shared" si="18"/>
        <v>46141</v>
      </c>
      <c r="G45" s="21">
        <f t="shared" si="18"/>
        <v>46142</v>
      </c>
      <c r="H45" s="21"/>
      <c r="I45" s="21"/>
      <c r="J45" s="21"/>
      <c r="K45" s="185"/>
      <c r="P45" s="56"/>
    </row>
    <row r="46" spans="1:16" ht="15" customHeight="1" x14ac:dyDescent="0.2">
      <c r="A46" s="9">
        <v>17</v>
      </c>
      <c r="B46" s="118" t="s">
        <v>23</v>
      </c>
      <c r="C46" s="118"/>
      <c r="D46" s="26">
        <v>0</v>
      </c>
      <c r="E46" s="26">
        <v>0</v>
      </c>
      <c r="F46" s="26">
        <v>0</v>
      </c>
      <c r="G46" s="26">
        <v>0</v>
      </c>
      <c r="H46" s="89">
        <v>0</v>
      </c>
      <c r="I46" s="89">
        <v>0</v>
      </c>
      <c r="J46" s="89">
        <v>0</v>
      </c>
      <c r="K46" s="20">
        <f>AVERAGE(D46:G46)</f>
        <v>0</v>
      </c>
    </row>
    <row r="47" spans="1:16" ht="15" customHeight="1" x14ac:dyDescent="0.2">
      <c r="A47" s="9">
        <v>18</v>
      </c>
      <c r="B47" s="118" t="s">
        <v>24</v>
      </c>
      <c r="C47" s="118"/>
      <c r="D47" s="26">
        <v>0</v>
      </c>
      <c r="E47" s="26">
        <v>0</v>
      </c>
      <c r="F47" s="26">
        <v>0</v>
      </c>
      <c r="G47" s="26">
        <v>0</v>
      </c>
      <c r="H47" s="89">
        <v>0</v>
      </c>
      <c r="I47" s="89">
        <v>0</v>
      </c>
      <c r="J47" s="89">
        <v>0</v>
      </c>
      <c r="K47" s="20">
        <f t="shared" ref="K47:K49" si="19">AVERAGE(D47:G47)</f>
        <v>0</v>
      </c>
    </row>
    <row r="48" spans="1:16" ht="15" customHeight="1" x14ac:dyDescent="0.2">
      <c r="A48" s="9">
        <v>19</v>
      </c>
      <c r="B48" s="118" t="s">
        <v>25</v>
      </c>
      <c r="C48" s="118"/>
      <c r="D48" s="26">
        <v>0</v>
      </c>
      <c r="E48" s="26">
        <v>0</v>
      </c>
      <c r="F48" s="26">
        <v>0</v>
      </c>
      <c r="G48" s="26">
        <v>0</v>
      </c>
      <c r="H48" s="89">
        <v>0</v>
      </c>
      <c r="I48" s="89">
        <v>0</v>
      </c>
      <c r="J48" s="89">
        <v>0</v>
      </c>
      <c r="K48" s="20">
        <f t="shared" si="19"/>
        <v>0</v>
      </c>
    </row>
    <row r="49" spans="1:16" ht="15" customHeight="1" x14ac:dyDescent="0.2">
      <c r="A49" s="9">
        <v>20</v>
      </c>
      <c r="B49" s="118" t="s">
        <v>26</v>
      </c>
      <c r="C49" s="118"/>
      <c r="D49" s="26">
        <v>0</v>
      </c>
      <c r="E49" s="26">
        <v>0</v>
      </c>
      <c r="F49" s="26">
        <v>0</v>
      </c>
      <c r="G49" s="26">
        <v>0</v>
      </c>
      <c r="H49" s="89">
        <v>0</v>
      </c>
      <c r="I49" s="89">
        <v>0</v>
      </c>
      <c r="J49" s="89">
        <v>0</v>
      </c>
      <c r="K49" s="20">
        <f t="shared" si="19"/>
        <v>0</v>
      </c>
    </row>
    <row r="50" spans="1:16" s="6" customFormat="1" ht="15" customHeight="1" x14ac:dyDescent="0.2">
      <c r="A50" s="127" t="s">
        <v>27</v>
      </c>
      <c r="B50" s="127"/>
      <c r="C50" s="127"/>
      <c r="D50" s="11">
        <f t="shared" ref="D50:J51" si="20">D46+D48</f>
        <v>0</v>
      </c>
      <c r="E50" s="11">
        <f t="shared" si="20"/>
        <v>0</v>
      </c>
      <c r="F50" s="11">
        <f t="shared" si="20"/>
        <v>0</v>
      </c>
      <c r="G50" s="11">
        <f t="shared" si="20"/>
        <v>0</v>
      </c>
      <c r="H50" s="11">
        <f>H46+H48</f>
        <v>0</v>
      </c>
      <c r="I50" s="11">
        <f t="shared" ref="I50:J50" si="21">I46+I48</f>
        <v>0</v>
      </c>
      <c r="J50" s="11">
        <f t="shared" si="21"/>
        <v>0</v>
      </c>
      <c r="K50" s="11">
        <f>K46+K48</f>
        <v>0</v>
      </c>
    </row>
    <row r="51" spans="1:16" s="6" customFormat="1" ht="15" customHeight="1" x14ac:dyDescent="0.2">
      <c r="A51" s="127" t="s">
        <v>28</v>
      </c>
      <c r="B51" s="127"/>
      <c r="C51" s="127"/>
      <c r="D51" s="11">
        <f t="shared" si="20"/>
        <v>0</v>
      </c>
      <c r="E51" s="11">
        <f t="shared" si="20"/>
        <v>0</v>
      </c>
      <c r="F51" s="11">
        <f t="shared" si="20"/>
        <v>0</v>
      </c>
      <c r="G51" s="11">
        <f t="shared" si="20"/>
        <v>0</v>
      </c>
      <c r="H51" s="11">
        <f t="shared" si="20"/>
        <v>0</v>
      </c>
      <c r="I51" s="11">
        <f t="shared" si="20"/>
        <v>0</v>
      </c>
      <c r="J51" s="11">
        <f t="shared" si="20"/>
        <v>0</v>
      </c>
      <c r="K51" s="11">
        <f>K47+K49</f>
        <v>0</v>
      </c>
    </row>
    <row r="52" spans="1:16" ht="15" customHeight="1" x14ac:dyDescent="0.2">
      <c r="A52" s="9">
        <v>21</v>
      </c>
      <c r="B52" s="118" t="s">
        <v>29</v>
      </c>
      <c r="C52" s="118"/>
      <c r="D52" s="26">
        <f t="shared" ref="D52:H55" si="22">D46*8.5</f>
        <v>0</v>
      </c>
      <c r="E52" s="26">
        <f t="shared" si="22"/>
        <v>0</v>
      </c>
      <c r="F52" s="26">
        <f t="shared" si="22"/>
        <v>0</v>
      </c>
      <c r="G52" s="26">
        <f t="shared" si="22"/>
        <v>0</v>
      </c>
      <c r="H52" s="89">
        <f>H46*8.5</f>
        <v>0</v>
      </c>
      <c r="I52" s="89">
        <f>I46*5.5</f>
        <v>0</v>
      </c>
      <c r="J52" s="89">
        <f>J46*5.5</f>
        <v>0</v>
      </c>
      <c r="K52" s="20">
        <f>SUM(D52:J52)</f>
        <v>0</v>
      </c>
    </row>
    <row r="53" spans="1:16" ht="15" customHeight="1" x14ac:dyDescent="0.2">
      <c r="A53" s="9">
        <v>22</v>
      </c>
      <c r="B53" s="118" t="s">
        <v>30</v>
      </c>
      <c r="C53" s="118"/>
      <c r="D53" s="26">
        <f t="shared" si="22"/>
        <v>0</v>
      </c>
      <c r="E53" s="26">
        <f t="shared" si="22"/>
        <v>0</v>
      </c>
      <c r="F53" s="26">
        <f t="shared" si="22"/>
        <v>0</v>
      </c>
      <c r="G53" s="26">
        <f t="shared" si="22"/>
        <v>0</v>
      </c>
      <c r="H53" s="89">
        <f t="shared" si="22"/>
        <v>0</v>
      </c>
      <c r="I53" s="89">
        <f t="shared" ref="I53:J55" si="23">I47*5.5</f>
        <v>0</v>
      </c>
      <c r="J53" s="89">
        <f t="shared" si="23"/>
        <v>0</v>
      </c>
      <c r="K53" s="20">
        <f t="shared" ref="K53:K55" si="24">SUM(D53:J53)</f>
        <v>0</v>
      </c>
    </row>
    <row r="54" spans="1:16" ht="15" customHeight="1" x14ac:dyDescent="0.2">
      <c r="A54" s="9">
        <v>23</v>
      </c>
      <c r="B54" s="118" t="s">
        <v>31</v>
      </c>
      <c r="C54" s="118"/>
      <c r="D54" s="26">
        <f t="shared" si="22"/>
        <v>0</v>
      </c>
      <c r="E54" s="26">
        <f t="shared" si="22"/>
        <v>0</v>
      </c>
      <c r="F54" s="26">
        <f>F48*8.5</f>
        <v>0</v>
      </c>
      <c r="G54" s="26">
        <f t="shared" si="22"/>
        <v>0</v>
      </c>
      <c r="H54" s="89">
        <f t="shared" si="22"/>
        <v>0</v>
      </c>
      <c r="I54" s="89">
        <f t="shared" si="23"/>
        <v>0</v>
      </c>
      <c r="J54" s="89">
        <f t="shared" si="23"/>
        <v>0</v>
      </c>
      <c r="K54" s="20">
        <f t="shared" si="24"/>
        <v>0</v>
      </c>
    </row>
    <row r="55" spans="1:16" ht="15" customHeight="1" x14ac:dyDescent="0.2">
      <c r="A55" s="9">
        <v>24</v>
      </c>
      <c r="B55" s="118" t="s">
        <v>32</v>
      </c>
      <c r="C55" s="118"/>
      <c r="D55" s="26">
        <f t="shared" si="22"/>
        <v>0</v>
      </c>
      <c r="E55" s="26">
        <f t="shared" si="22"/>
        <v>0</v>
      </c>
      <c r="F55" s="26">
        <f t="shared" si="22"/>
        <v>0</v>
      </c>
      <c r="G55" s="26">
        <f t="shared" si="22"/>
        <v>0</v>
      </c>
      <c r="H55" s="89">
        <f t="shared" si="22"/>
        <v>0</v>
      </c>
      <c r="I55" s="89">
        <f t="shared" si="23"/>
        <v>0</v>
      </c>
      <c r="J55" s="89">
        <f t="shared" si="23"/>
        <v>0</v>
      </c>
      <c r="K55" s="20">
        <f t="shared" si="24"/>
        <v>0</v>
      </c>
    </row>
    <row r="56" spans="1:16" s="6" customFormat="1" ht="15" customHeight="1" x14ac:dyDescent="0.2">
      <c r="A56" s="127" t="s">
        <v>33</v>
      </c>
      <c r="B56" s="127"/>
      <c r="C56" s="127"/>
      <c r="D56" s="11">
        <f>D52+D54</f>
        <v>0</v>
      </c>
      <c r="E56" s="11">
        <f t="shared" ref="E56:J57" si="25">E52+E54</f>
        <v>0</v>
      </c>
      <c r="F56" s="11">
        <f t="shared" si="25"/>
        <v>0</v>
      </c>
      <c r="G56" s="11">
        <f t="shared" si="25"/>
        <v>0</v>
      </c>
      <c r="H56" s="11">
        <f>H52+H54</f>
        <v>0</v>
      </c>
      <c r="I56" s="11">
        <f t="shared" ref="I56:J56" si="26">I52+I54</f>
        <v>0</v>
      </c>
      <c r="J56" s="11">
        <f t="shared" si="26"/>
        <v>0</v>
      </c>
      <c r="K56" s="11">
        <f>K52+K54</f>
        <v>0</v>
      </c>
    </row>
    <row r="57" spans="1:16" s="6" customFormat="1" ht="15" customHeight="1" x14ac:dyDescent="0.2">
      <c r="A57" s="127" t="s">
        <v>34</v>
      </c>
      <c r="B57" s="127"/>
      <c r="C57" s="127"/>
      <c r="D57" s="11">
        <f>D53+D55</f>
        <v>0</v>
      </c>
      <c r="E57" s="11">
        <f t="shared" si="25"/>
        <v>0</v>
      </c>
      <c r="F57" s="11">
        <f t="shared" si="25"/>
        <v>0</v>
      </c>
      <c r="G57" s="11">
        <f t="shared" si="25"/>
        <v>0</v>
      </c>
      <c r="H57" s="11">
        <f t="shared" si="25"/>
        <v>0</v>
      </c>
      <c r="I57" s="11">
        <f t="shared" si="25"/>
        <v>0</v>
      </c>
      <c r="J57" s="11">
        <f t="shared" si="25"/>
        <v>0</v>
      </c>
      <c r="K57" s="11">
        <f>K53+K55</f>
        <v>0</v>
      </c>
    </row>
    <row r="58" spans="1:16" s="10" customFormat="1" ht="15" customHeight="1" x14ac:dyDescent="0.2">
      <c r="A58" s="185" t="s">
        <v>13</v>
      </c>
      <c r="B58" s="185"/>
      <c r="C58" s="185"/>
      <c r="D58" s="202" t="s">
        <v>37</v>
      </c>
      <c r="E58" s="203"/>
      <c r="F58" s="203"/>
      <c r="G58" s="203"/>
      <c r="H58" s="203"/>
      <c r="I58" s="203"/>
      <c r="J58" s="203"/>
      <c r="K58" s="204"/>
    </row>
    <row r="59" spans="1:16" ht="15" customHeight="1" x14ac:dyDescent="0.2">
      <c r="A59" s="185"/>
      <c r="B59" s="185"/>
      <c r="C59" s="185"/>
      <c r="D59" s="12" t="s">
        <v>15</v>
      </c>
      <c r="E59" s="12" t="s">
        <v>16</v>
      </c>
      <c r="F59" s="12" t="s">
        <v>17</v>
      </c>
      <c r="G59" s="12" t="s">
        <v>18</v>
      </c>
      <c r="H59" s="12" t="s">
        <v>19</v>
      </c>
      <c r="I59" s="12" t="s">
        <v>20</v>
      </c>
      <c r="J59" s="12" t="s">
        <v>21</v>
      </c>
      <c r="K59" s="185" t="s">
        <v>22</v>
      </c>
    </row>
    <row r="60" spans="1:16" s="8" customFormat="1" ht="15" customHeight="1" x14ac:dyDescent="0.2">
      <c r="A60" s="185"/>
      <c r="B60" s="185"/>
      <c r="C60" s="185"/>
      <c r="D60" s="21">
        <f>D45</f>
        <v>46139</v>
      </c>
      <c r="E60" s="21">
        <f t="shared" ref="E60:G60" si="27">E45</f>
        <v>46140</v>
      </c>
      <c r="F60" s="21">
        <f t="shared" si="27"/>
        <v>46141</v>
      </c>
      <c r="G60" s="21">
        <f t="shared" si="27"/>
        <v>46142</v>
      </c>
      <c r="H60" s="21"/>
      <c r="I60" s="21"/>
      <c r="J60" s="21"/>
      <c r="K60" s="185"/>
      <c r="P60" s="56"/>
    </row>
    <row r="61" spans="1:16" ht="15" customHeight="1" x14ac:dyDescent="0.2">
      <c r="A61" s="9">
        <v>25</v>
      </c>
      <c r="B61" s="118" t="s">
        <v>23</v>
      </c>
      <c r="C61" s="118"/>
      <c r="D61" s="26">
        <f>D16+D31</f>
        <v>0</v>
      </c>
      <c r="E61" s="26">
        <f t="shared" ref="E61:E64" si="28">E16+E31</f>
        <v>0</v>
      </c>
      <c r="F61" s="26">
        <f>F16+F31</f>
        <v>0</v>
      </c>
      <c r="G61" s="26">
        <f>G16+G31</f>
        <v>0</v>
      </c>
      <c r="H61" s="89">
        <f>H16+H31</f>
        <v>0</v>
      </c>
      <c r="I61" s="89">
        <f>I16+I31</f>
        <v>0</v>
      </c>
      <c r="J61" s="89">
        <f t="shared" ref="J61:J64" si="29">J16+J31+J46</f>
        <v>0</v>
      </c>
      <c r="K61" s="20">
        <f>AVERAGE(D61:G61)</f>
        <v>0</v>
      </c>
    </row>
    <row r="62" spans="1:16" ht="15" customHeight="1" x14ac:dyDescent="0.2">
      <c r="A62" s="9">
        <v>26</v>
      </c>
      <c r="B62" s="118" t="s">
        <v>24</v>
      </c>
      <c r="C62" s="118"/>
      <c r="D62" s="26">
        <f>D17+D32</f>
        <v>0</v>
      </c>
      <c r="E62" s="26">
        <f t="shared" si="28"/>
        <v>0</v>
      </c>
      <c r="F62" s="26">
        <f>F17+F32</f>
        <v>0</v>
      </c>
      <c r="G62" s="26">
        <f t="shared" ref="G62:I64" si="30">G17+G32</f>
        <v>0</v>
      </c>
      <c r="H62" s="89">
        <f t="shared" si="30"/>
        <v>0</v>
      </c>
      <c r="I62" s="89">
        <f t="shared" si="30"/>
        <v>0</v>
      </c>
      <c r="J62" s="89">
        <f t="shared" si="29"/>
        <v>0</v>
      </c>
      <c r="K62" s="20">
        <f t="shared" ref="K62:K64" si="31">AVERAGE(D62:G62)</f>
        <v>0</v>
      </c>
    </row>
    <row r="63" spans="1:16" ht="15" customHeight="1" x14ac:dyDescent="0.2">
      <c r="A63" s="9">
        <v>27</v>
      </c>
      <c r="B63" s="118" t="s">
        <v>25</v>
      </c>
      <c r="C63" s="118"/>
      <c r="D63" s="26">
        <f>D18+D33</f>
        <v>0</v>
      </c>
      <c r="E63" s="26">
        <f t="shared" si="28"/>
        <v>0</v>
      </c>
      <c r="F63" s="26">
        <f>F18+F33</f>
        <v>0</v>
      </c>
      <c r="G63" s="26">
        <f t="shared" si="30"/>
        <v>0</v>
      </c>
      <c r="H63" s="89">
        <f t="shared" si="30"/>
        <v>0</v>
      </c>
      <c r="I63" s="89">
        <f t="shared" si="30"/>
        <v>0</v>
      </c>
      <c r="J63" s="89">
        <f t="shared" si="29"/>
        <v>0</v>
      </c>
      <c r="K63" s="20">
        <f t="shared" si="31"/>
        <v>0</v>
      </c>
    </row>
    <row r="64" spans="1:16" ht="15" customHeight="1" x14ac:dyDescent="0.2">
      <c r="A64" s="9">
        <v>28</v>
      </c>
      <c r="B64" s="118" t="s">
        <v>26</v>
      </c>
      <c r="C64" s="118"/>
      <c r="D64" s="26">
        <f>D19+D34</f>
        <v>0</v>
      </c>
      <c r="E64" s="26">
        <f t="shared" si="28"/>
        <v>0</v>
      </c>
      <c r="F64" s="26">
        <f>F19+F34</f>
        <v>0</v>
      </c>
      <c r="G64" s="26">
        <f t="shared" si="30"/>
        <v>0</v>
      </c>
      <c r="H64" s="89">
        <f t="shared" si="30"/>
        <v>0</v>
      </c>
      <c r="I64" s="89">
        <f t="shared" si="30"/>
        <v>0</v>
      </c>
      <c r="J64" s="89">
        <f t="shared" si="29"/>
        <v>0</v>
      </c>
      <c r="K64" s="20">
        <f t="shared" si="31"/>
        <v>0</v>
      </c>
    </row>
    <row r="65" spans="1:11" s="6" customFormat="1" ht="15" customHeight="1" x14ac:dyDescent="0.2">
      <c r="A65" s="127" t="s">
        <v>27</v>
      </c>
      <c r="B65" s="127"/>
      <c r="C65" s="127"/>
      <c r="D65" s="11">
        <f t="shared" ref="D65:K66" si="32">D61+D63</f>
        <v>0</v>
      </c>
      <c r="E65" s="11">
        <f t="shared" si="32"/>
        <v>0</v>
      </c>
      <c r="F65" s="11">
        <f t="shared" si="32"/>
        <v>0</v>
      </c>
      <c r="G65" s="11">
        <f t="shared" si="32"/>
        <v>0</v>
      </c>
      <c r="H65" s="11">
        <f t="shared" si="32"/>
        <v>0</v>
      </c>
      <c r="I65" s="11">
        <f t="shared" si="32"/>
        <v>0</v>
      </c>
      <c r="J65" s="11">
        <f t="shared" si="32"/>
        <v>0</v>
      </c>
      <c r="K65" s="11">
        <f t="shared" si="32"/>
        <v>0</v>
      </c>
    </row>
    <row r="66" spans="1:11" s="6" customFormat="1" ht="15" customHeight="1" x14ac:dyDescent="0.2">
      <c r="A66" s="127" t="s">
        <v>28</v>
      </c>
      <c r="B66" s="127"/>
      <c r="C66" s="127"/>
      <c r="D66" s="11">
        <f t="shared" si="32"/>
        <v>0</v>
      </c>
      <c r="E66" s="11">
        <f t="shared" si="32"/>
        <v>0</v>
      </c>
      <c r="F66" s="11">
        <f t="shared" si="32"/>
        <v>0</v>
      </c>
      <c r="G66" s="11">
        <f t="shared" si="32"/>
        <v>0</v>
      </c>
      <c r="H66" s="11">
        <f t="shared" si="32"/>
        <v>0</v>
      </c>
      <c r="I66" s="11">
        <f t="shared" si="32"/>
        <v>0</v>
      </c>
      <c r="J66" s="11">
        <f t="shared" si="32"/>
        <v>0</v>
      </c>
      <c r="K66" s="11">
        <f>K62+K64</f>
        <v>0</v>
      </c>
    </row>
    <row r="67" spans="1:11" ht="15" customHeight="1" x14ac:dyDescent="0.2">
      <c r="A67" s="9">
        <v>29</v>
      </c>
      <c r="B67" s="118" t="s">
        <v>29</v>
      </c>
      <c r="C67" s="118"/>
      <c r="D67" s="26">
        <f>D22+D37+D52</f>
        <v>0</v>
      </c>
      <c r="E67" s="26">
        <f t="shared" ref="E67:J70" si="33">E22+E37+E52</f>
        <v>0</v>
      </c>
      <c r="F67" s="26">
        <f t="shared" si="33"/>
        <v>0</v>
      </c>
      <c r="G67" s="26">
        <f t="shared" si="33"/>
        <v>0</v>
      </c>
      <c r="H67" s="89">
        <f t="shared" si="33"/>
        <v>0</v>
      </c>
      <c r="I67" s="89">
        <f t="shared" si="33"/>
        <v>0</v>
      </c>
      <c r="J67" s="89">
        <f t="shared" si="33"/>
        <v>0</v>
      </c>
      <c r="K67" s="20">
        <f>SUM(D67:J67)</f>
        <v>0</v>
      </c>
    </row>
    <row r="68" spans="1:11" ht="15" customHeight="1" x14ac:dyDescent="0.2">
      <c r="A68" s="9">
        <v>30</v>
      </c>
      <c r="B68" s="118" t="s">
        <v>30</v>
      </c>
      <c r="C68" s="118"/>
      <c r="D68" s="26">
        <f>D23+D38+D53</f>
        <v>0</v>
      </c>
      <c r="E68" s="26">
        <f t="shared" si="33"/>
        <v>0</v>
      </c>
      <c r="F68" s="26">
        <f t="shared" si="33"/>
        <v>0</v>
      </c>
      <c r="G68" s="26">
        <f t="shared" si="33"/>
        <v>0</v>
      </c>
      <c r="H68" s="89">
        <f t="shared" si="33"/>
        <v>0</v>
      </c>
      <c r="I68" s="89">
        <f t="shared" si="33"/>
        <v>0</v>
      </c>
      <c r="J68" s="89">
        <f t="shared" si="33"/>
        <v>0</v>
      </c>
      <c r="K68" s="20">
        <f>SUM(D68:J68)</f>
        <v>0</v>
      </c>
    </row>
    <row r="69" spans="1:11" ht="15" customHeight="1" x14ac:dyDescent="0.2">
      <c r="A69" s="9">
        <v>31</v>
      </c>
      <c r="B69" s="118" t="s">
        <v>31</v>
      </c>
      <c r="C69" s="118"/>
      <c r="D69" s="26">
        <f>D24+D39+D54</f>
        <v>0</v>
      </c>
      <c r="E69" s="26">
        <f t="shared" si="33"/>
        <v>0</v>
      </c>
      <c r="F69" s="26">
        <f t="shared" si="33"/>
        <v>0</v>
      </c>
      <c r="G69" s="26">
        <f t="shared" si="33"/>
        <v>0</v>
      </c>
      <c r="H69" s="89">
        <f t="shared" si="33"/>
        <v>0</v>
      </c>
      <c r="I69" s="89">
        <f t="shared" si="33"/>
        <v>0</v>
      </c>
      <c r="J69" s="89">
        <f t="shared" si="33"/>
        <v>0</v>
      </c>
      <c r="K69" s="20">
        <f>SUM(D69:J69)</f>
        <v>0</v>
      </c>
    </row>
    <row r="70" spans="1:11" ht="15" customHeight="1" x14ac:dyDescent="0.2">
      <c r="A70" s="9">
        <v>32</v>
      </c>
      <c r="B70" s="118" t="s">
        <v>32</v>
      </c>
      <c r="C70" s="118"/>
      <c r="D70" s="26">
        <f>D25+D40+D55</f>
        <v>0</v>
      </c>
      <c r="E70" s="26">
        <f t="shared" si="33"/>
        <v>0</v>
      </c>
      <c r="F70" s="26">
        <f t="shared" si="33"/>
        <v>0</v>
      </c>
      <c r="G70" s="26">
        <f t="shared" si="33"/>
        <v>0</v>
      </c>
      <c r="H70" s="89">
        <f t="shared" si="33"/>
        <v>0</v>
      </c>
      <c r="I70" s="89">
        <f t="shared" si="33"/>
        <v>0</v>
      </c>
      <c r="J70" s="89">
        <f t="shared" si="33"/>
        <v>0</v>
      </c>
      <c r="K70" s="20">
        <f>SUM(D70:J70)</f>
        <v>0</v>
      </c>
    </row>
    <row r="71" spans="1:11" s="6" customFormat="1" ht="15" customHeight="1" x14ac:dyDescent="0.2">
      <c r="A71" s="127" t="s">
        <v>33</v>
      </c>
      <c r="B71" s="127"/>
      <c r="C71" s="127"/>
      <c r="D71" s="11">
        <f>D67+D69</f>
        <v>0</v>
      </c>
      <c r="E71" s="11">
        <f t="shared" ref="E71:H72" si="34">E67+E69</f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>I67+I69</f>
        <v>0</v>
      </c>
      <c r="J71" s="11">
        <f t="shared" ref="J71:K72" si="35">J67+J69</f>
        <v>0</v>
      </c>
      <c r="K71" s="11">
        <f t="shared" si="35"/>
        <v>0</v>
      </c>
    </row>
    <row r="72" spans="1:11" s="6" customFormat="1" ht="15" customHeight="1" x14ac:dyDescent="0.2">
      <c r="A72" s="127" t="s">
        <v>34</v>
      </c>
      <c r="B72" s="127"/>
      <c r="C72" s="127"/>
      <c r="D72" s="11">
        <f>D68+D70</f>
        <v>0</v>
      </c>
      <c r="E72" s="11">
        <f t="shared" si="34"/>
        <v>0</v>
      </c>
      <c r="F72" s="11">
        <f t="shared" si="34"/>
        <v>0</v>
      </c>
      <c r="G72" s="11">
        <f t="shared" si="34"/>
        <v>0</v>
      </c>
      <c r="H72" s="11">
        <f t="shared" si="34"/>
        <v>0</v>
      </c>
      <c r="I72" s="11">
        <f>I68+I70</f>
        <v>0</v>
      </c>
      <c r="J72" s="11">
        <f t="shared" si="35"/>
        <v>0</v>
      </c>
      <c r="K72" s="11">
        <f>K68+K70</f>
        <v>0</v>
      </c>
    </row>
    <row r="73" spans="1:11" ht="45.75" customHeight="1" x14ac:dyDescent="0.2">
      <c r="A73" s="94"/>
      <c r="B73" s="95"/>
      <c r="C73" s="95"/>
      <c r="D73" s="95"/>
      <c r="E73" s="95"/>
      <c r="F73" s="95"/>
      <c r="G73" s="95"/>
      <c r="H73" s="95"/>
      <c r="I73" s="95"/>
      <c r="J73" s="95"/>
      <c r="K73" s="96"/>
    </row>
    <row r="74" spans="1:11" ht="70.5" customHeight="1" x14ac:dyDescent="0.2">
      <c r="A74" s="97"/>
      <c r="B74" s="98"/>
      <c r="C74" s="98"/>
      <c r="D74" s="98"/>
      <c r="E74" s="98"/>
      <c r="F74" s="98"/>
      <c r="G74" s="98"/>
      <c r="H74" s="98"/>
      <c r="I74" s="98"/>
      <c r="J74" s="98"/>
      <c r="K74" s="99"/>
    </row>
    <row r="75" spans="1:11" ht="78" customHeight="1" x14ac:dyDescent="0.2">
      <c r="A75" s="97"/>
      <c r="B75" s="98"/>
      <c r="C75" s="98"/>
      <c r="D75" s="98"/>
      <c r="E75" s="98"/>
      <c r="F75" s="98"/>
      <c r="G75" s="98"/>
      <c r="H75" s="98"/>
      <c r="I75" s="98"/>
      <c r="J75" s="98"/>
      <c r="K75" s="99"/>
    </row>
    <row r="76" spans="1:11" ht="87.75" customHeight="1" x14ac:dyDescent="0.2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9"/>
    </row>
    <row r="77" spans="1:11" ht="70.5" customHeight="1" x14ac:dyDescent="0.2">
      <c r="A77" s="97"/>
      <c r="B77" s="98"/>
      <c r="C77" s="98"/>
      <c r="D77" s="98"/>
      <c r="E77" s="98"/>
      <c r="F77" s="98"/>
      <c r="G77" s="98"/>
      <c r="H77" s="98"/>
      <c r="I77" s="98"/>
      <c r="J77" s="98"/>
      <c r="K77" s="99"/>
    </row>
    <row r="78" spans="1:11" ht="45.75" customHeight="1" x14ac:dyDescent="0.2">
      <c r="A78" s="98"/>
      <c r="B78" s="245" t="s">
        <v>174</v>
      </c>
      <c r="C78" s="245"/>
      <c r="D78" s="98"/>
      <c r="E78" s="98"/>
      <c r="F78" s="98"/>
      <c r="G78" s="98"/>
      <c r="H78" s="98"/>
      <c r="I78" s="98"/>
      <c r="J78" s="98"/>
      <c r="K78" s="98"/>
    </row>
    <row r="79" spans="1:11" ht="44.25" customHeight="1" x14ac:dyDescent="0.2">
      <c r="A79" s="98"/>
      <c r="B79" s="74" t="s">
        <v>170</v>
      </c>
      <c r="C79" s="75">
        <f>K26+K27</f>
        <v>0</v>
      </c>
      <c r="D79" s="98"/>
      <c r="E79" s="98"/>
      <c r="F79" s="98"/>
      <c r="G79" s="98"/>
      <c r="H79" s="98"/>
      <c r="I79" s="98"/>
      <c r="J79" s="98"/>
      <c r="K79" s="98"/>
    </row>
    <row r="80" spans="1:11" ht="37.5" customHeight="1" x14ac:dyDescent="0.2">
      <c r="A80" s="98"/>
      <c r="B80" s="74" t="s">
        <v>172</v>
      </c>
      <c r="C80" s="75">
        <f>K41+K42</f>
        <v>0</v>
      </c>
      <c r="D80" s="98"/>
      <c r="E80" s="98"/>
      <c r="F80" s="98"/>
      <c r="G80" s="98"/>
      <c r="H80" s="98"/>
      <c r="I80" s="98"/>
      <c r="J80" s="98"/>
      <c r="K80" s="98"/>
    </row>
    <row r="81" spans="1:16" ht="39" customHeight="1" x14ac:dyDescent="0.2">
      <c r="A81" s="98"/>
      <c r="B81" s="74" t="s">
        <v>36</v>
      </c>
      <c r="C81" s="75">
        <f>K56+K57</f>
        <v>0</v>
      </c>
      <c r="D81" s="98"/>
      <c r="E81" s="98"/>
      <c r="F81" s="98"/>
      <c r="G81" s="98"/>
      <c r="H81" s="98"/>
      <c r="I81" s="98"/>
      <c r="J81" s="98"/>
      <c r="K81" s="98"/>
    </row>
    <row r="82" spans="1:16" ht="33" customHeight="1" x14ac:dyDescent="0.2">
      <c r="A82" s="98"/>
      <c r="B82" s="76" t="s">
        <v>173</v>
      </c>
      <c r="C82" s="73">
        <f>SUM(C79:C81)</f>
        <v>0</v>
      </c>
      <c r="D82" s="98"/>
      <c r="E82" s="98"/>
      <c r="F82" s="98"/>
      <c r="G82" s="98"/>
      <c r="H82" s="98"/>
      <c r="I82" s="98"/>
      <c r="J82" s="98"/>
      <c r="K82" s="98"/>
    </row>
    <row r="83" spans="1:16" ht="26.25" customHeight="1" x14ac:dyDescent="0.2">
      <c r="A83" s="246"/>
      <c r="B83" s="134"/>
      <c r="C83" s="134"/>
      <c r="D83" s="247"/>
      <c r="E83" s="247"/>
      <c r="F83" s="247"/>
      <c r="G83" s="247"/>
      <c r="H83" s="247"/>
      <c r="I83" s="247"/>
      <c r="J83" s="247"/>
      <c r="K83" s="248"/>
    </row>
    <row r="84" spans="1:16" s="10" customFormat="1" ht="15" customHeight="1" x14ac:dyDescent="0.2">
      <c r="A84" s="185" t="s">
        <v>38</v>
      </c>
      <c r="B84" s="185"/>
      <c r="C84" s="185"/>
      <c r="D84" s="202" t="s">
        <v>39</v>
      </c>
      <c r="E84" s="203"/>
      <c r="F84" s="203"/>
      <c r="G84" s="203"/>
      <c r="H84" s="203"/>
      <c r="I84" s="203"/>
      <c r="J84" s="203"/>
      <c r="K84" s="204"/>
    </row>
    <row r="85" spans="1:16" ht="15" customHeight="1" x14ac:dyDescent="0.2">
      <c r="A85" s="185"/>
      <c r="B85" s="185"/>
      <c r="C85" s="185"/>
      <c r="D85" s="12" t="s">
        <v>15</v>
      </c>
      <c r="E85" s="12" t="s">
        <v>16</v>
      </c>
      <c r="F85" s="12" t="s">
        <v>17</v>
      </c>
      <c r="G85" s="12" t="s">
        <v>18</v>
      </c>
      <c r="H85" s="12" t="s">
        <v>19</v>
      </c>
      <c r="I85" s="12" t="s">
        <v>20</v>
      </c>
      <c r="J85" s="12" t="s">
        <v>21</v>
      </c>
      <c r="K85" s="185" t="s">
        <v>22</v>
      </c>
    </row>
    <row r="86" spans="1:16" s="8" customFormat="1" ht="15" customHeight="1" x14ac:dyDescent="0.2">
      <c r="A86" s="185"/>
      <c r="B86" s="185"/>
      <c r="C86" s="185"/>
      <c r="D86" s="21">
        <f>D60</f>
        <v>46139</v>
      </c>
      <c r="E86" s="21">
        <f t="shared" ref="E86:G86" si="36">E60</f>
        <v>46140</v>
      </c>
      <c r="F86" s="21">
        <f t="shared" si="36"/>
        <v>46141</v>
      </c>
      <c r="G86" s="21">
        <f t="shared" si="36"/>
        <v>46142</v>
      </c>
      <c r="H86" s="21"/>
      <c r="I86" s="21"/>
      <c r="J86" s="21"/>
      <c r="K86" s="185"/>
      <c r="P86" s="56"/>
    </row>
    <row r="87" spans="1:16" ht="15" customHeight="1" x14ac:dyDescent="0.2">
      <c r="A87" s="9">
        <v>1</v>
      </c>
      <c r="B87" s="118"/>
      <c r="C87" s="118"/>
      <c r="D87" s="26">
        <v>0</v>
      </c>
      <c r="E87" s="26">
        <v>0</v>
      </c>
      <c r="F87" s="26">
        <v>0</v>
      </c>
      <c r="G87" s="26">
        <v>0</v>
      </c>
      <c r="H87" s="89">
        <v>0</v>
      </c>
      <c r="I87" s="89">
        <v>0</v>
      </c>
      <c r="J87" s="89">
        <v>0</v>
      </c>
      <c r="K87" s="20">
        <f>AVERAGE(D87:J87)</f>
        <v>0</v>
      </c>
    </row>
    <row r="88" spans="1:16" ht="15" customHeight="1" x14ac:dyDescent="0.2">
      <c r="A88" s="9">
        <v>2</v>
      </c>
      <c r="B88" s="118"/>
      <c r="C88" s="118"/>
      <c r="D88" s="26">
        <v>0</v>
      </c>
      <c r="E88" s="26">
        <v>0</v>
      </c>
      <c r="F88" s="26">
        <v>0</v>
      </c>
      <c r="G88" s="26">
        <v>0</v>
      </c>
      <c r="H88" s="89">
        <v>0</v>
      </c>
      <c r="I88" s="89">
        <v>0</v>
      </c>
      <c r="J88" s="89">
        <v>0</v>
      </c>
      <c r="K88" s="20">
        <f>AVERAGE(D88:J88)</f>
        <v>0</v>
      </c>
    </row>
    <row r="89" spans="1:16" ht="15" customHeight="1" x14ac:dyDescent="0.2">
      <c r="A89" s="9">
        <v>3</v>
      </c>
      <c r="B89" s="118"/>
      <c r="C89" s="118"/>
      <c r="D89" s="26">
        <v>0</v>
      </c>
      <c r="E89" s="26">
        <v>0</v>
      </c>
      <c r="F89" s="26">
        <v>0</v>
      </c>
      <c r="G89" s="26">
        <v>0</v>
      </c>
      <c r="H89" s="89">
        <v>0</v>
      </c>
      <c r="I89" s="89">
        <v>0</v>
      </c>
      <c r="J89" s="89">
        <v>0</v>
      </c>
      <c r="K89" s="20">
        <f t="shared" ref="K89:K94" si="37">AVERAGE(D89:J89)</f>
        <v>0</v>
      </c>
    </row>
    <row r="90" spans="1:16" ht="15" customHeight="1" x14ac:dyDescent="0.2">
      <c r="A90" s="9">
        <v>4</v>
      </c>
      <c r="B90" s="118"/>
      <c r="C90" s="118"/>
      <c r="D90" s="26">
        <v>0</v>
      </c>
      <c r="E90" s="26">
        <v>0</v>
      </c>
      <c r="F90" s="26">
        <v>0</v>
      </c>
      <c r="G90" s="26">
        <v>0</v>
      </c>
      <c r="H90" s="89">
        <v>0</v>
      </c>
      <c r="I90" s="89">
        <v>0</v>
      </c>
      <c r="J90" s="89">
        <v>0</v>
      </c>
      <c r="K90" s="20">
        <f t="shared" si="37"/>
        <v>0</v>
      </c>
    </row>
    <row r="91" spans="1:16" ht="15" customHeight="1" x14ac:dyDescent="0.2">
      <c r="A91" s="9">
        <v>5</v>
      </c>
      <c r="B91" s="118"/>
      <c r="C91" s="118"/>
      <c r="D91" s="26">
        <v>0</v>
      </c>
      <c r="E91" s="26">
        <v>0</v>
      </c>
      <c r="F91" s="26">
        <v>0</v>
      </c>
      <c r="G91" s="26">
        <v>0</v>
      </c>
      <c r="H91" s="89">
        <v>0</v>
      </c>
      <c r="I91" s="89">
        <v>0</v>
      </c>
      <c r="J91" s="89">
        <v>0</v>
      </c>
      <c r="K91" s="20">
        <f t="shared" si="37"/>
        <v>0</v>
      </c>
    </row>
    <row r="92" spans="1:16" ht="15" customHeight="1" x14ac:dyDescent="0.2">
      <c r="A92" s="9">
        <v>6</v>
      </c>
      <c r="B92" s="118"/>
      <c r="C92" s="118"/>
      <c r="D92" s="26">
        <v>0</v>
      </c>
      <c r="E92" s="26">
        <v>0</v>
      </c>
      <c r="F92" s="26">
        <v>0</v>
      </c>
      <c r="G92" s="26">
        <v>0</v>
      </c>
      <c r="H92" s="89">
        <v>0</v>
      </c>
      <c r="I92" s="89">
        <v>0</v>
      </c>
      <c r="J92" s="89">
        <v>0</v>
      </c>
      <c r="K92" s="20">
        <f t="shared" si="37"/>
        <v>0</v>
      </c>
    </row>
    <row r="93" spans="1:16" ht="15" customHeight="1" x14ac:dyDescent="0.2">
      <c r="A93" s="9">
        <v>7</v>
      </c>
      <c r="B93" s="118"/>
      <c r="C93" s="118"/>
      <c r="D93" s="26">
        <v>0</v>
      </c>
      <c r="E93" s="26">
        <v>0</v>
      </c>
      <c r="F93" s="26">
        <v>0</v>
      </c>
      <c r="G93" s="26">
        <v>0</v>
      </c>
      <c r="H93" s="89">
        <v>0</v>
      </c>
      <c r="I93" s="89">
        <v>0</v>
      </c>
      <c r="J93" s="89">
        <v>0</v>
      </c>
      <c r="K93" s="20">
        <f t="shared" si="37"/>
        <v>0</v>
      </c>
    </row>
    <row r="94" spans="1:16" ht="15" customHeight="1" x14ac:dyDescent="0.2">
      <c r="A94" s="9">
        <v>8</v>
      </c>
      <c r="B94" s="118"/>
      <c r="C94" s="118"/>
      <c r="D94" s="26">
        <v>0</v>
      </c>
      <c r="E94" s="26">
        <v>0</v>
      </c>
      <c r="F94" s="26">
        <v>0</v>
      </c>
      <c r="G94" s="26">
        <v>0</v>
      </c>
      <c r="H94" s="89">
        <v>0</v>
      </c>
      <c r="I94" s="89">
        <v>0</v>
      </c>
      <c r="J94" s="89">
        <v>0</v>
      </c>
      <c r="K94" s="20">
        <f t="shared" si="37"/>
        <v>0</v>
      </c>
    </row>
    <row r="95" spans="1:16" s="6" customFormat="1" ht="15" customHeight="1" x14ac:dyDescent="0.2">
      <c r="A95" s="127" t="s">
        <v>40</v>
      </c>
      <c r="B95" s="127"/>
      <c r="C95" s="127"/>
      <c r="D95" s="11">
        <f>SUM(D87:D94)</f>
        <v>0</v>
      </c>
      <c r="E95" s="11">
        <f t="shared" ref="E95:K95" si="38">SUM(E87:E94)</f>
        <v>0</v>
      </c>
      <c r="F95" s="11">
        <f t="shared" si="38"/>
        <v>0</v>
      </c>
      <c r="G95" s="11">
        <f t="shared" si="38"/>
        <v>0</v>
      </c>
      <c r="H95" s="11">
        <f t="shared" si="38"/>
        <v>0</v>
      </c>
      <c r="I95" s="11">
        <f t="shared" si="38"/>
        <v>0</v>
      </c>
      <c r="J95" s="11">
        <f t="shared" si="38"/>
        <v>0</v>
      </c>
      <c r="K95" s="11">
        <f t="shared" si="38"/>
        <v>0</v>
      </c>
    </row>
    <row r="96" spans="1:16" ht="12.95" customHeight="1" x14ac:dyDescent="0.2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</row>
    <row r="97" spans="1:14" s="72" customFormat="1" ht="27" customHeight="1" x14ac:dyDescent="0.2">
      <c r="A97" s="221" t="s">
        <v>175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3"/>
    </row>
    <row r="98" spans="1:14" s="72" customFormat="1" ht="6" customHeight="1" x14ac:dyDescent="0.2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 spans="1:14" s="77" customFormat="1" ht="22.5" customHeight="1" x14ac:dyDescent="0.2">
      <c r="A99" s="227" t="s">
        <v>176</v>
      </c>
      <c r="B99" s="228"/>
      <c r="C99" s="228"/>
      <c r="D99" s="228"/>
      <c r="E99" s="228"/>
      <c r="F99" s="228"/>
      <c r="G99" s="228"/>
      <c r="H99" s="228"/>
      <c r="I99" s="228"/>
      <c r="J99" s="228"/>
      <c r="K99" s="229"/>
    </row>
    <row r="100" spans="1:14" s="72" customFormat="1" ht="33" customHeight="1" x14ac:dyDescent="0.2">
      <c r="A100" s="249" t="s">
        <v>42</v>
      </c>
      <c r="B100" s="250"/>
      <c r="C100" s="103" t="s">
        <v>177</v>
      </c>
      <c r="D100" s="252" t="s">
        <v>81</v>
      </c>
      <c r="E100" s="253"/>
      <c r="F100" s="254"/>
      <c r="G100" s="102" t="s">
        <v>195</v>
      </c>
      <c r="H100" s="102" t="s">
        <v>196</v>
      </c>
      <c r="I100" s="101" t="s">
        <v>82</v>
      </c>
      <c r="J100" s="101" t="s">
        <v>83</v>
      </c>
      <c r="K100" s="101" t="s">
        <v>84</v>
      </c>
    </row>
    <row r="101" spans="1:14" s="72" customFormat="1" ht="28.5" customHeight="1" x14ac:dyDescent="0.2">
      <c r="A101" s="244"/>
      <c r="B101" s="244"/>
      <c r="C101" s="281"/>
      <c r="D101" s="278"/>
      <c r="E101" s="279"/>
      <c r="F101" s="280"/>
      <c r="G101" s="282"/>
      <c r="H101" s="276"/>
      <c r="I101" s="276"/>
      <c r="J101" s="78">
        <f>G101*I101</f>
        <v>0</v>
      </c>
      <c r="K101" s="78">
        <f>H101*I101</f>
        <v>0</v>
      </c>
      <c r="N101" s="105" t="s">
        <v>178</v>
      </c>
    </row>
    <row r="102" spans="1:14" s="72" customFormat="1" ht="32.25" customHeight="1" x14ac:dyDescent="0.2">
      <c r="A102" s="244"/>
      <c r="B102" s="244"/>
      <c r="C102" s="281"/>
      <c r="D102" s="278"/>
      <c r="E102" s="279"/>
      <c r="F102" s="280"/>
      <c r="G102" s="282"/>
      <c r="H102" s="276"/>
      <c r="I102" s="276"/>
      <c r="J102" s="78">
        <f>G102*I102</f>
        <v>0</v>
      </c>
      <c r="K102" s="78">
        <f>H102*I102</f>
        <v>0</v>
      </c>
      <c r="N102" s="105" t="s">
        <v>179</v>
      </c>
    </row>
    <row r="103" spans="1:14" s="72" customFormat="1" ht="32.25" customHeight="1" x14ac:dyDescent="0.2">
      <c r="A103" s="244"/>
      <c r="B103" s="244"/>
      <c r="C103" s="281"/>
      <c r="D103" s="278"/>
      <c r="E103" s="279"/>
      <c r="F103" s="280"/>
      <c r="G103" s="282"/>
      <c r="H103" s="276"/>
      <c r="I103" s="276"/>
      <c r="J103" s="78">
        <f t="shared" ref="J103:J119" si="39">G103*I103</f>
        <v>0</v>
      </c>
      <c r="K103" s="78">
        <f t="shared" ref="K103:K119" si="40">H103*I103</f>
        <v>0</v>
      </c>
      <c r="N103" s="105"/>
    </row>
    <row r="104" spans="1:14" s="72" customFormat="1" ht="32.25" customHeight="1" x14ac:dyDescent="0.2">
      <c r="A104" s="244"/>
      <c r="B104" s="244"/>
      <c r="C104" s="281"/>
      <c r="D104" s="278"/>
      <c r="E104" s="279"/>
      <c r="F104" s="280"/>
      <c r="G104" s="282"/>
      <c r="H104" s="276"/>
      <c r="I104" s="276"/>
      <c r="J104" s="78">
        <f t="shared" si="39"/>
        <v>0</v>
      </c>
      <c r="K104" s="78">
        <f t="shared" si="40"/>
        <v>0</v>
      </c>
      <c r="N104" s="105"/>
    </row>
    <row r="105" spans="1:14" s="72" customFormat="1" ht="32.25" customHeight="1" x14ac:dyDescent="0.2">
      <c r="A105" s="244"/>
      <c r="B105" s="244"/>
      <c r="C105" s="281"/>
      <c r="D105" s="278"/>
      <c r="E105" s="279"/>
      <c r="F105" s="280"/>
      <c r="G105" s="282"/>
      <c r="H105" s="276"/>
      <c r="I105" s="276"/>
      <c r="J105" s="78">
        <f t="shared" si="39"/>
        <v>0</v>
      </c>
      <c r="K105" s="78">
        <f t="shared" si="40"/>
        <v>0</v>
      </c>
      <c r="N105" s="105"/>
    </row>
    <row r="106" spans="1:14" s="72" customFormat="1" ht="32.25" customHeight="1" x14ac:dyDescent="0.2">
      <c r="A106" s="244"/>
      <c r="B106" s="244"/>
      <c r="C106" s="281"/>
      <c r="D106" s="278"/>
      <c r="E106" s="279"/>
      <c r="F106" s="280"/>
      <c r="G106" s="282"/>
      <c r="H106" s="276"/>
      <c r="I106" s="276"/>
      <c r="J106" s="78">
        <f t="shared" si="39"/>
        <v>0</v>
      </c>
      <c r="K106" s="78">
        <f t="shared" si="40"/>
        <v>0</v>
      </c>
      <c r="N106" s="105"/>
    </row>
    <row r="107" spans="1:14" s="72" customFormat="1" ht="32.25" customHeight="1" x14ac:dyDescent="0.2">
      <c r="A107" s="244"/>
      <c r="B107" s="244"/>
      <c r="C107" s="281"/>
      <c r="D107" s="278"/>
      <c r="E107" s="279"/>
      <c r="F107" s="280"/>
      <c r="G107" s="282"/>
      <c r="H107" s="276"/>
      <c r="I107" s="276"/>
      <c r="J107" s="78">
        <f t="shared" si="39"/>
        <v>0</v>
      </c>
      <c r="K107" s="78">
        <f t="shared" si="40"/>
        <v>0</v>
      </c>
      <c r="N107" s="105"/>
    </row>
    <row r="108" spans="1:14" s="72" customFormat="1" ht="30.75" customHeight="1" x14ac:dyDescent="0.2">
      <c r="A108" s="244"/>
      <c r="B108" s="244"/>
      <c r="C108" s="281"/>
      <c r="D108" s="278"/>
      <c r="E108" s="279"/>
      <c r="F108" s="280"/>
      <c r="G108" s="282"/>
      <c r="H108" s="276"/>
      <c r="I108" s="276"/>
      <c r="J108" s="78">
        <f t="shared" si="39"/>
        <v>0</v>
      </c>
      <c r="K108" s="78">
        <f t="shared" si="40"/>
        <v>0</v>
      </c>
      <c r="N108" s="105" t="s">
        <v>197</v>
      </c>
    </row>
    <row r="109" spans="1:14" s="72" customFormat="1" ht="30" customHeight="1" x14ac:dyDescent="0.2">
      <c r="A109" s="244"/>
      <c r="B109" s="244"/>
      <c r="C109" s="281"/>
      <c r="D109" s="278"/>
      <c r="E109" s="279"/>
      <c r="F109" s="280"/>
      <c r="G109" s="282"/>
      <c r="H109" s="276"/>
      <c r="I109" s="276"/>
      <c r="J109" s="78">
        <f t="shared" si="39"/>
        <v>0</v>
      </c>
      <c r="K109" s="78">
        <f t="shared" si="40"/>
        <v>0</v>
      </c>
      <c r="N109" s="105" t="s">
        <v>180</v>
      </c>
    </row>
    <row r="110" spans="1:14" s="72" customFormat="1" ht="31.5" customHeight="1" x14ac:dyDescent="0.2">
      <c r="A110" s="244"/>
      <c r="B110" s="244"/>
      <c r="C110" s="281"/>
      <c r="D110" s="278"/>
      <c r="E110" s="279"/>
      <c r="F110" s="280"/>
      <c r="G110" s="282"/>
      <c r="H110" s="276"/>
      <c r="I110" s="276"/>
      <c r="J110" s="78">
        <f t="shared" si="39"/>
        <v>0</v>
      </c>
      <c r="K110" s="78">
        <f t="shared" si="40"/>
        <v>0</v>
      </c>
      <c r="N110" s="106"/>
    </row>
    <row r="111" spans="1:14" s="72" customFormat="1" ht="29.25" customHeight="1" x14ac:dyDescent="0.2">
      <c r="A111" s="244"/>
      <c r="B111" s="244"/>
      <c r="C111" s="281"/>
      <c r="D111" s="278"/>
      <c r="E111" s="279"/>
      <c r="F111" s="280"/>
      <c r="G111" s="283"/>
      <c r="H111" s="276"/>
      <c r="I111" s="276"/>
      <c r="J111" s="78">
        <f t="shared" si="39"/>
        <v>0</v>
      </c>
      <c r="K111" s="78">
        <f t="shared" si="40"/>
        <v>0</v>
      </c>
    </row>
    <row r="112" spans="1:14" s="72" customFormat="1" ht="30" customHeight="1" x14ac:dyDescent="0.2">
      <c r="A112" s="244"/>
      <c r="B112" s="244"/>
      <c r="C112" s="281"/>
      <c r="D112" s="278"/>
      <c r="E112" s="279"/>
      <c r="F112" s="280"/>
      <c r="G112" s="282"/>
      <c r="H112" s="276"/>
      <c r="I112" s="276"/>
      <c r="J112" s="78">
        <f t="shared" si="39"/>
        <v>0</v>
      </c>
      <c r="K112" s="78">
        <f t="shared" si="40"/>
        <v>0</v>
      </c>
    </row>
    <row r="113" spans="1:16" s="72" customFormat="1" ht="22.5" customHeight="1" x14ac:dyDescent="0.2">
      <c r="A113" s="244"/>
      <c r="B113" s="244"/>
      <c r="C113" s="281"/>
      <c r="D113" s="278"/>
      <c r="E113" s="279"/>
      <c r="F113" s="280"/>
      <c r="G113" s="283"/>
      <c r="H113" s="277"/>
      <c r="I113" s="277"/>
      <c r="J113" s="78">
        <f t="shared" si="39"/>
        <v>0</v>
      </c>
      <c r="K113" s="78">
        <f t="shared" si="40"/>
        <v>0</v>
      </c>
    </row>
    <row r="114" spans="1:16" s="72" customFormat="1" ht="22.5" customHeight="1" x14ac:dyDescent="0.2">
      <c r="A114" s="244"/>
      <c r="B114" s="244"/>
      <c r="C114" s="281"/>
      <c r="D114" s="278"/>
      <c r="E114" s="279"/>
      <c r="F114" s="280"/>
      <c r="G114" s="282"/>
      <c r="H114" s="277"/>
      <c r="I114" s="277"/>
      <c r="J114" s="78">
        <f t="shared" si="39"/>
        <v>0</v>
      </c>
      <c r="K114" s="78">
        <f t="shared" si="40"/>
        <v>0</v>
      </c>
    </row>
    <row r="115" spans="1:16" s="72" customFormat="1" ht="28.5" customHeight="1" x14ac:dyDescent="0.2">
      <c r="A115" s="244"/>
      <c r="B115" s="244"/>
      <c r="C115" s="281"/>
      <c r="D115" s="278"/>
      <c r="E115" s="279"/>
      <c r="F115" s="280"/>
      <c r="G115" s="282"/>
      <c r="H115" s="277"/>
      <c r="I115" s="277"/>
      <c r="J115" s="78">
        <f t="shared" si="39"/>
        <v>0</v>
      </c>
      <c r="K115" s="78">
        <f t="shared" si="40"/>
        <v>0</v>
      </c>
    </row>
    <row r="116" spans="1:16" s="72" customFormat="1" ht="33" customHeight="1" x14ac:dyDescent="0.2">
      <c r="A116" s="244"/>
      <c r="B116" s="244"/>
      <c r="C116" s="281"/>
      <c r="D116" s="278"/>
      <c r="E116" s="279"/>
      <c r="F116" s="280"/>
      <c r="G116" s="282"/>
      <c r="H116" s="277"/>
      <c r="I116" s="277"/>
      <c r="J116" s="78">
        <f t="shared" si="39"/>
        <v>0</v>
      </c>
      <c r="K116" s="78">
        <f t="shared" si="40"/>
        <v>0</v>
      </c>
    </row>
    <row r="117" spans="1:16" s="72" customFormat="1" ht="27" customHeight="1" x14ac:dyDescent="0.2">
      <c r="A117" s="244"/>
      <c r="B117" s="244"/>
      <c r="C117" s="281"/>
      <c r="D117" s="278"/>
      <c r="E117" s="279"/>
      <c r="F117" s="280"/>
      <c r="G117" s="283"/>
      <c r="H117" s="276"/>
      <c r="I117" s="276"/>
      <c r="J117" s="78">
        <f t="shared" si="39"/>
        <v>0</v>
      </c>
      <c r="K117" s="78">
        <f t="shared" si="40"/>
        <v>0</v>
      </c>
    </row>
    <row r="118" spans="1:16" s="72" customFormat="1" ht="27" customHeight="1" x14ac:dyDescent="0.2">
      <c r="A118" s="244"/>
      <c r="B118" s="244"/>
      <c r="C118" s="281"/>
      <c r="D118" s="278"/>
      <c r="E118" s="279"/>
      <c r="F118" s="280"/>
      <c r="G118" s="283"/>
      <c r="H118" s="276"/>
      <c r="I118" s="276"/>
      <c r="J118" s="78">
        <f t="shared" si="39"/>
        <v>0</v>
      </c>
      <c r="K118" s="78">
        <f t="shared" si="40"/>
        <v>0</v>
      </c>
    </row>
    <row r="119" spans="1:16" s="72" customFormat="1" ht="21" customHeight="1" x14ac:dyDescent="0.2">
      <c r="A119" s="256" t="s">
        <v>194</v>
      </c>
      <c r="B119" s="257"/>
      <c r="C119" s="257"/>
      <c r="D119" s="257"/>
      <c r="E119" s="257"/>
      <c r="F119" s="257"/>
      <c r="G119" s="257"/>
      <c r="H119" s="257"/>
      <c r="I119" s="258"/>
      <c r="J119" s="79">
        <f>+SUM(J101:J118)</f>
        <v>0</v>
      </c>
      <c r="K119" s="79">
        <f>+SUM(K101:K118)</f>
        <v>0</v>
      </c>
    </row>
    <row r="120" spans="1:16" s="72" customFormat="1" ht="21" customHeight="1" x14ac:dyDescent="0.2">
      <c r="A120" s="256" t="s">
        <v>182</v>
      </c>
      <c r="B120" s="257"/>
      <c r="C120" s="257"/>
      <c r="D120" s="257"/>
      <c r="E120" s="257"/>
      <c r="F120" s="257"/>
      <c r="G120" s="257"/>
      <c r="H120" s="257"/>
      <c r="I120" s="258"/>
      <c r="J120" s="259">
        <f>J119+K119</f>
        <v>0</v>
      </c>
      <c r="K120" s="260"/>
    </row>
    <row r="121" spans="1:16" s="72" customFormat="1" ht="15.75" customHeight="1" x14ac:dyDescent="0.2">
      <c r="A121" s="80"/>
      <c r="B121" s="81"/>
      <c r="C121" s="81"/>
      <c r="D121" s="82"/>
      <c r="E121" s="82"/>
      <c r="F121" s="82"/>
      <c r="G121" s="82"/>
      <c r="H121" s="82"/>
      <c r="I121" s="82"/>
      <c r="J121" s="82"/>
      <c r="K121" s="83"/>
    </row>
    <row r="122" spans="1:16" s="72" customFormat="1" ht="45.75" customHeight="1" x14ac:dyDescent="0.2">
      <c r="A122" s="80"/>
      <c r="B122" s="81"/>
      <c r="C122" s="81"/>
      <c r="D122" s="84" t="s">
        <v>183</v>
      </c>
      <c r="E122" s="84" t="s">
        <v>184</v>
      </c>
      <c r="F122" s="84" t="s">
        <v>185</v>
      </c>
      <c r="G122" s="84" t="s">
        <v>186</v>
      </c>
      <c r="H122" s="82"/>
      <c r="I122" s="82"/>
      <c r="J122" s="82"/>
      <c r="K122" s="83"/>
    </row>
    <row r="123" spans="1:16" s="72" customFormat="1" ht="33" customHeight="1" x14ac:dyDescent="0.2">
      <c r="A123" s="80"/>
      <c r="B123" s="81"/>
      <c r="C123" s="81"/>
      <c r="D123" s="85">
        <f>+COUNTIF(C101:C118,"Charla diaria")</f>
        <v>0</v>
      </c>
      <c r="E123" s="85">
        <f>+COUNTIF(C101:C118,"Charla semanal")</f>
        <v>0</v>
      </c>
      <c r="F123" s="104">
        <f>+COUNTIF(C101:C118,"Capacitación específica")</f>
        <v>0</v>
      </c>
      <c r="G123" s="85">
        <f>+COUNTIF(C101:C118,"Inducción")</f>
        <v>0</v>
      </c>
      <c r="H123" s="82"/>
      <c r="I123" s="82"/>
      <c r="J123" s="82"/>
      <c r="K123" s="83"/>
    </row>
    <row r="124" spans="1:16" s="72" customFormat="1" ht="24.75" customHeight="1" x14ac:dyDescent="0.2">
      <c r="A124" s="80"/>
      <c r="B124" s="81"/>
      <c r="C124" s="81"/>
      <c r="D124" s="100"/>
      <c r="E124" s="100"/>
      <c r="F124" s="100"/>
      <c r="G124" s="100"/>
      <c r="H124" s="82"/>
      <c r="I124" s="82"/>
      <c r="J124" s="82"/>
      <c r="K124" s="83"/>
    </row>
    <row r="125" spans="1:16" ht="27" customHeight="1" x14ac:dyDescent="0.2">
      <c r="A125" s="221" t="s">
        <v>187</v>
      </c>
      <c r="B125" s="222"/>
      <c r="C125" s="222"/>
      <c r="D125" s="222"/>
      <c r="E125" s="222"/>
      <c r="F125" s="222"/>
      <c r="G125" s="222"/>
      <c r="H125" s="222"/>
      <c r="I125" s="222"/>
      <c r="J125" s="222"/>
      <c r="K125" s="223"/>
    </row>
    <row r="126" spans="1:16" ht="6.75" customHeight="1" x14ac:dyDescent="0.2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</row>
    <row r="127" spans="1:16" ht="27.6" customHeight="1" x14ac:dyDescent="0.2">
      <c r="A127" s="198" t="s">
        <v>198</v>
      </c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8"/>
      <c r="O127" s="44"/>
      <c r="P127" s="59"/>
    </row>
    <row r="128" spans="1:16" x14ac:dyDescent="0.2">
      <c r="A128" s="157" t="s">
        <v>41</v>
      </c>
      <c r="B128" s="157"/>
      <c r="C128" s="51" t="s">
        <v>42</v>
      </c>
      <c r="D128" s="52" t="s">
        <v>43</v>
      </c>
      <c r="E128" s="158" t="s">
        <v>44</v>
      </c>
      <c r="F128" s="158"/>
      <c r="G128" s="158"/>
      <c r="H128" s="158" t="s">
        <v>45</v>
      </c>
      <c r="I128" s="158"/>
      <c r="J128" s="158"/>
      <c r="K128" s="158"/>
      <c r="L128" s="49"/>
      <c r="M128" s="49"/>
      <c r="N128" s="50"/>
      <c r="O128" s="46"/>
      <c r="P128" s="61"/>
    </row>
    <row r="129" spans="1:16" ht="24.95" customHeight="1" x14ac:dyDescent="0.2">
      <c r="A129" s="171"/>
      <c r="B129" s="171"/>
      <c r="C129" s="54"/>
      <c r="D129" s="55"/>
      <c r="E129" s="145"/>
      <c r="F129" s="145"/>
      <c r="G129" s="145"/>
      <c r="H129" s="160"/>
      <c r="I129" s="160"/>
      <c r="J129" s="160"/>
      <c r="K129" s="160"/>
      <c r="L129" s="49"/>
      <c r="M129" s="49"/>
      <c r="N129" s="50"/>
      <c r="O129" s="46"/>
      <c r="P129" s="61"/>
    </row>
    <row r="130" spans="1:16" ht="24.95" customHeight="1" x14ac:dyDescent="0.2">
      <c r="A130" s="171"/>
      <c r="B130" s="171"/>
      <c r="C130" s="54"/>
      <c r="D130" s="55"/>
      <c r="E130" s="145"/>
      <c r="F130" s="145"/>
      <c r="G130" s="145"/>
      <c r="H130" s="160"/>
      <c r="I130" s="160"/>
      <c r="J130" s="160"/>
      <c r="K130" s="160"/>
      <c r="L130" s="49"/>
      <c r="M130" s="49"/>
      <c r="N130" s="50"/>
      <c r="O130" s="46"/>
      <c r="P130" s="61"/>
    </row>
    <row r="131" spans="1:16" ht="24.95" customHeight="1" x14ac:dyDescent="0.2">
      <c r="A131" s="171"/>
      <c r="B131" s="171"/>
      <c r="C131" s="54"/>
      <c r="D131" s="55"/>
      <c r="E131" s="145"/>
      <c r="F131" s="145"/>
      <c r="G131" s="145"/>
      <c r="H131" s="160"/>
      <c r="I131" s="160"/>
      <c r="J131" s="160"/>
      <c r="K131" s="160"/>
    </row>
    <row r="132" spans="1:16" ht="24.95" customHeight="1" x14ac:dyDescent="0.2">
      <c r="A132" s="198" t="s">
        <v>188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6" ht="24.95" customHeight="1" x14ac:dyDescent="0.2">
      <c r="A133" s="263" t="s">
        <v>171</v>
      </c>
      <c r="B133" s="264"/>
      <c r="C133" s="265"/>
      <c r="D133" s="108">
        <f>D60</f>
        <v>46139</v>
      </c>
      <c r="E133" s="108">
        <f>E60</f>
        <v>46140</v>
      </c>
      <c r="F133" s="108">
        <f>F60</f>
        <v>46141</v>
      </c>
      <c r="G133" s="108">
        <f>G60</f>
        <v>46142</v>
      </c>
      <c r="H133" s="108"/>
      <c r="I133" s="108"/>
      <c r="J133" s="108"/>
      <c r="K133" s="107" t="s">
        <v>173</v>
      </c>
    </row>
    <row r="134" spans="1:16" ht="24.95" customHeight="1" x14ac:dyDescent="0.2">
      <c r="A134" s="9">
        <v>1</v>
      </c>
      <c r="B134" s="118" t="s">
        <v>47</v>
      </c>
      <c r="C134" s="118"/>
      <c r="D134" s="26">
        <v>0</v>
      </c>
      <c r="E134" s="26">
        <v>0</v>
      </c>
      <c r="F134" s="26">
        <v>0</v>
      </c>
      <c r="G134" s="26">
        <v>0</v>
      </c>
      <c r="H134" s="89">
        <v>0</v>
      </c>
      <c r="I134" s="89">
        <v>0</v>
      </c>
      <c r="J134" s="89">
        <v>0</v>
      </c>
      <c r="K134" s="27">
        <f>SUM(F134:J134)</f>
        <v>0</v>
      </c>
    </row>
    <row r="135" spans="1:16" ht="24.95" customHeight="1" x14ac:dyDescent="0.2">
      <c r="A135" s="9">
        <v>2</v>
      </c>
      <c r="B135" s="118" t="s">
        <v>48</v>
      </c>
      <c r="C135" s="118"/>
      <c r="D135" s="17">
        <v>0</v>
      </c>
      <c r="E135" s="17">
        <v>0</v>
      </c>
      <c r="F135" s="17">
        <v>0</v>
      </c>
      <c r="G135" s="17">
        <v>0</v>
      </c>
      <c r="H135" s="115">
        <v>0</v>
      </c>
      <c r="I135" s="115">
        <v>0</v>
      </c>
      <c r="J135" s="115">
        <v>0</v>
      </c>
      <c r="K135" s="27">
        <f t="shared" ref="K135:K136" si="41">SUM(F135:J135)</f>
        <v>0</v>
      </c>
    </row>
    <row r="136" spans="1:16" ht="24.95" customHeight="1" x14ac:dyDescent="0.2">
      <c r="A136" s="9">
        <v>3</v>
      </c>
      <c r="B136" s="118" t="s">
        <v>49</v>
      </c>
      <c r="C136" s="118"/>
      <c r="D136" s="17">
        <v>0</v>
      </c>
      <c r="E136" s="17">
        <v>0</v>
      </c>
      <c r="F136" s="17">
        <v>0</v>
      </c>
      <c r="G136" s="17">
        <v>0</v>
      </c>
      <c r="H136" s="115">
        <v>0</v>
      </c>
      <c r="I136" s="115">
        <v>0</v>
      </c>
      <c r="J136" s="115">
        <v>0</v>
      </c>
      <c r="K136" s="27">
        <f t="shared" si="41"/>
        <v>0</v>
      </c>
    </row>
    <row r="137" spans="1:16" s="14" customFormat="1" ht="24.95" customHeight="1" x14ac:dyDescent="0.2">
      <c r="A137" s="127" t="s">
        <v>50</v>
      </c>
      <c r="B137" s="127"/>
      <c r="C137" s="127"/>
      <c r="D137" s="11">
        <f t="shared" ref="D137:H137" si="42">SUM(D134:D136)</f>
        <v>0</v>
      </c>
      <c r="E137" s="11">
        <f t="shared" si="42"/>
        <v>0</v>
      </c>
      <c r="F137" s="11">
        <f t="shared" si="42"/>
        <v>0</v>
      </c>
      <c r="G137" s="11">
        <f t="shared" si="42"/>
        <v>0</v>
      </c>
      <c r="H137" s="11">
        <f t="shared" si="42"/>
        <v>0</v>
      </c>
      <c r="I137" s="11">
        <f>SUM(I134:I136)</f>
        <v>0</v>
      </c>
      <c r="J137" s="11">
        <f t="shared" ref="J137" si="43">SUM(J134:J136)</f>
        <v>0</v>
      </c>
      <c r="K137" s="11">
        <f>SUM(K134:K136)</f>
        <v>0</v>
      </c>
      <c r="P137" s="57"/>
    </row>
    <row r="138" spans="1:16" ht="24.95" customHeight="1" x14ac:dyDescent="0.2">
      <c r="A138" s="198" t="s">
        <v>51</v>
      </c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6" ht="24.95" customHeight="1" x14ac:dyDescent="0.2">
      <c r="A139" s="263" t="s">
        <v>171</v>
      </c>
      <c r="B139" s="264"/>
      <c r="C139" s="265"/>
      <c r="D139" s="108">
        <f>D133</f>
        <v>46139</v>
      </c>
      <c r="E139" s="108">
        <f t="shared" ref="E139:G139" si="44">E133</f>
        <v>46140</v>
      </c>
      <c r="F139" s="108">
        <f t="shared" si="44"/>
        <v>46141</v>
      </c>
      <c r="G139" s="108">
        <f t="shared" si="44"/>
        <v>46142</v>
      </c>
      <c r="H139" s="108"/>
      <c r="I139" s="108"/>
      <c r="J139" s="108"/>
      <c r="K139" s="107" t="s">
        <v>173</v>
      </c>
    </row>
    <row r="140" spans="1:16" ht="24.95" customHeight="1" x14ac:dyDescent="0.2">
      <c r="A140" s="9">
        <v>4</v>
      </c>
      <c r="B140" s="226" t="s">
        <v>52</v>
      </c>
      <c r="C140" s="226"/>
      <c r="D140" s="17">
        <v>0</v>
      </c>
      <c r="E140" s="17">
        <v>0</v>
      </c>
      <c r="F140" s="17">
        <v>0</v>
      </c>
      <c r="G140" s="17">
        <v>0</v>
      </c>
      <c r="H140" s="115">
        <v>0</v>
      </c>
      <c r="I140" s="115">
        <v>0</v>
      </c>
      <c r="J140" s="115">
        <v>0</v>
      </c>
      <c r="K140" s="28">
        <f>SUM(F140:J140)</f>
        <v>0</v>
      </c>
    </row>
    <row r="141" spans="1:16" ht="24.95" customHeight="1" x14ac:dyDescent="0.2">
      <c r="A141" s="127" t="s">
        <v>53</v>
      </c>
      <c r="B141" s="127"/>
      <c r="C141" s="127"/>
      <c r="D141" s="11">
        <f t="shared" ref="D141:H141" si="45">SUM(D140:D140)</f>
        <v>0</v>
      </c>
      <c r="E141" s="11">
        <f t="shared" si="45"/>
        <v>0</v>
      </c>
      <c r="F141" s="11">
        <f t="shared" si="45"/>
        <v>0</v>
      </c>
      <c r="G141" s="11">
        <f t="shared" si="45"/>
        <v>0</v>
      </c>
      <c r="H141" s="11">
        <f t="shared" si="45"/>
        <v>0</v>
      </c>
      <c r="I141" s="11">
        <f>SUM(I140:I140)</f>
        <v>0</v>
      </c>
      <c r="J141" s="11">
        <f>SUM(J140:J140)</f>
        <v>0</v>
      </c>
      <c r="K141" s="11">
        <f>SUM(K140:K140)</f>
        <v>0</v>
      </c>
    </row>
    <row r="142" spans="1:16" ht="24.95" customHeight="1" x14ac:dyDescent="0.2">
      <c r="A142" s="198" t="s">
        <v>189</v>
      </c>
      <c r="B142" s="198"/>
      <c r="C142" s="198"/>
      <c r="D142" s="198"/>
      <c r="E142" s="198"/>
      <c r="F142" s="198"/>
      <c r="G142" s="198"/>
      <c r="H142" s="198"/>
      <c r="I142" s="198"/>
      <c r="J142" s="198"/>
      <c r="K142" s="199"/>
    </row>
    <row r="143" spans="1:16" ht="24.95" customHeight="1" x14ac:dyDescent="0.2">
      <c r="A143" s="263" t="s">
        <v>171</v>
      </c>
      <c r="B143" s="264"/>
      <c r="C143" s="265"/>
      <c r="D143" s="108">
        <f>D139</f>
        <v>46139</v>
      </c>
      <c r="E143" s="108">
        <f t="shared" ref="E143:G143" si="46">E139</f>
        <v>46140</v>
      </c>
      <c r="F143" s="108">
        <f t="shared" si="46"/>
        <v>46141</v>
      </c>
      <c r="G143" s="108">
        <f t="shared" si="46"/>
        <v>46142</v>
      </c>
      <c r="H143" s="108"/>
      <c r="I143" s="108"/>
      <c r="J143" s="108"/>
      <c r="K143" s="107" t="s">
        <v>173</v>
      </c>
    </row>
    <row r="144" spans="1:16" ht="24.95" customHeight="1" x14ac:dyDescent="0.2">
      <c r="A144" s="9">
        <v>5</v>
      </c>
      <c r="B144" s="118" t="s">
        <v>55</v>
      </c>
      <c r="C144" s="118"/>
      <c r="D144" s="17">
        <v>0</v>
      </c>
      <c r="E144" s="17">
        <v>0</v>
      </c>
      <c r="F144" s="17">
        <v>0</v>
      </c>
      <c r="G144" s="17">
        <v>0</v>
      </c>
      <c r="H144" s="115">
        <v>0</v>
      </c>
      <c r="I144" s="115">
        <v>0</v>
      </c>
      <c r="J144" s="115">
        <v>0</v>
      </c>
      <c r="K144" s="27">
        <f>SUM(F144:J144)</f>
        <v>0</v>
      </c>
    </row>
    <row r="145" spans="1:16" s="2" customFormat="1" ht="24.95" customHeight="1" x14ac:dyDescent="0.2">
      <c r="A145" s="9">
        <v>6</v>
      </c>
      <c r="B145" s="200" t="s">
        <v>56</v>
      </c>
      <c r="C145" s="201"/>
      <c r="D145" s="17">
        <v>0</v>
      </c>
      <c r="E145" s="17">
        <v>0</v>
      </c>
      <c r="F145" s="17">
        <v>0</v>
      </c>
      <c r="G145" s="17">
        <v>0</v>
      </c>
      <c r="H145" s="115">
        <v>0</v>
      </c>
      <c r="I145" s="115">
        <v>0</v>
      </c>
      <c r="J145" s="115">
        <v>0</v>
      </c>
      <c r="K145" s="27">
        <f>SUM(F145:J145)</f>
        <v>0</v>
      </c>
      <c r="P145" s="3"/>
    </row>
    <row r="146" spans="1:16" ht="24.95" customHeight="1" x14ac:dyDescent="0.2">
      <c r="A146" s="127" t="s">
        <v>57</v>
      </c>
      <c r="B146" s="127"/>
      <c r="C146" s="127"/>
      <c r="D146" s="12">
        <f t="shared" ref="D146:J146" si="47">SUM(D144:D145)</f>
        <v>0</v>
      </c>
      <c r="E146" s="12">
        <f t="shared" si="47"/>
        <v>0</v>
      </c>
      <c r="F146" s="12">
        <f t="shared" si="47"/>
        <v>0</v>
      </c>
      <c r="G146" s="12">
        <f t="shared" si="47"/>
        <v>0</v>
      </c>
      <c r="H146" s="12">
        <f t="shared" si="47"/>
        <v>0</v>
      </c>
      <c r="I146" s="12">
        <f t="shared" si="47"/>
        <v>0</v>
      </c>
      <c r="J146" s="12">
        <f t="shared" si="47"/>
        <v>0</v>
      </c>
      <c r="K146" s="109">
        <f>SUM(K144:K145)</f>
        <v>0</v>
      </c>
    </row>
    <row r="147" spans="1:16" ht="99.75" customHeight="1" x14ac:dyDescent="0.2">
      <c r="A147" s="26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8"/>
    </row>
    <row r="148" spans="1:16" ht="116.25" customHeight="1" x14ac:dyDescent="0.2">
      <c r="A148" s="269"/>
      <c r="B148" s="270"/>
      <c r="C148" s="270"/>
      <c r="D148" s="270"/>
      <c r="E148" s="270"/>
      <c r="F148" s="270"/>
      <c r="G148" s="270"/>
      <c r="H148" s="270"/>
      <c r="I148" s="270"/>
      <c r="J148" s="270"/>
      <c r="K148" s="271"/>
    </row>
    <row r="149" spans="1:16" ht="111" customHeight="1" x14ac:dyDescent="0.2">
      <c r="A149" s="269"/>
      <c r="B149" s="270"/>
      <c r="C149" s="270"/>
      <c r="D149" s="270"/>
      <c r="E149" s="270"/>
      <c r="F149" s="270"/>
      <c r="G149" s="270"/>
      <c r="H149" s="270"/>
      <c r="I149" s="270"/>
      <c r="J149" s="270"/>
      <c r="K149" s="271"/>
    </row>
    <row r="150" spans="1:16" ht="152.25" customHeight="1" x14ac:dyDescent="0.2">
      <c r="A150" s="269"/>
      <c r="B150" s="270"/>
      <c r="C150" s="270"/>
      <c r="D150" s="270"/>
      <c r="E150" s="270"/>
      <c r="F150" s="270"/>
      <c r="G150" s="270"/>
      <c r="H150" s="270"/>
      <c r="I150" s="270"/>
      <c r="J150" s="270"/>
      <c r="K150" s="271"/>
    </row>
    <row r="151" spans="1:16" ht="116.25" customHeight="1" x14ac:dyDescent="0.2">
      <c r="A151" s="246"/>
      <c r="B151" s="247"/>
      <c r="C151" s="247"/>
      <c r="D151" s="247"/>
      <c r="E151" s="247"/>
      <c r="F151" s="247"/>
      <c r="G151" s="247"/>
      <c r="H151" s="247"/>
      <c r="I151" s="247"/>
      <c r="J151" s="247"/>
      <c r="K151" s="248"/>
    </row>
    <row r="152" spans="1:16" ht="27" customHeight="1" x14ac:dyDescent="0.2">
      <c r="A152" s="198" t="s">
        <v>190</v>
      </c>
      <c r="B152" s="198"/>
      <c r="C152" s="198"/>
      <c r="D152" s="198"/>
      <c r="E152" s="198"/>
      <c r="F152" s="198"/>
      <c r="G152" s="198"/>
      <c r="H152" s="198"/>
      <c r="I152" s="198"/>
      <c r="J152" s="198"/>
      <c r="K152" s="199"/>
    </row>
    <row r="153" spans="1:16" ht="24.95" customHeight="1" x14ac:dyDescent="0.2">
      <c r="A153" s="272" t="s">
        <v>191</v>
      </c>
      <c r="B153" s="273"/>
      <c r="C153" s="274"/>
      <c r="D153" s="110">
        <f>D143</f>
        <v>46139</v>
      </c>
      <c r="E153" s="110">
        <f t="shared" ref="E153:J153" si="48">E143</f>
        <v>46140</v>
      </c>
      <c r="F153" s="110">
        <f t="shared" si="48"/>
        <v>46141</v>
      </c>
      <c r="G153" s="110">
        <f t="shared" si="48"/>
        <v>46142</v>
      </c>
      <c r="H153" s="110">
        <f t="shared" si="48"/>
        <v>0</v>
      </c>
      <c r="I153" s="110">
        <f t="shared" si="48"/>
        <v>0</v>
      </c>
      <c r="J153" s="110">
        <f t="shared" si="48"/>
        <v>0</v>
      </c>
      <c r="K153" s="111" t="s">
        <v>173</v>
      </c>
    </row>
    <row r="154" spans="1:16" ht="24.95" customHeight="1" x14ac:dyDescent="0.2">
      <c r="A154" s="9">
        <v>1</v>
      </c>
      <c r="B154" s="118" t="s">
        <v>59</v>
      </c>
      <c r="C154" s="118"/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27">
        <f>SUM(D154:J154)</f>
        <v>0</v>
      </c>
    </row>
    <row r="155" spans="1:16" s="13" customFormat="1" ht="24.95" customHeight="1" x14ac:dyDescent="0.2">
      <c r="A155" s="9">
        <v>2</v>
      </c>
      <c r="B155" s="118" t="s">
        <v>60</v>
      </c>
      <c r="C155" s="118"/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27">
        <f>SUM(D155:J155)</f>
        <v>0</v>
      </c>
    </row>
    <row r="156" spans="1:16" s="13" customFormat="1" ht="24.95" customHeight="1" x14ac:dyDescent="0.2">
      <c r="A156" s="9">
        <v>3</v>
      </c>
      <c r="B156" s="118" t="s">
        <v>61</v>
      </c>
      <c r="C156" s="118"/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27">
        <f>SUM(D156:J156)</f>
        <v>0</v>
      </c>
    </row>
    <row r="157" spans="1:16" ht="24.95" customHeight="1" x14ac:dyDescent="0.2">
      <c r="A157" s="9">
        <v>4</v>
      </c>
      <c r="B157" s="118" t="s">
        <v>62</v>
      </c>
      <c r="C157" s="118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27">
        <f>SUM(D157:J157)</f>
        <v>0</v>
      </c>
    </row>
    <row r="158" spans="1:16" ht="27.75" customHeight="1" x14ac:dyDescent="0.2">
      <c r="A158" s="127" t="s">
        <v>63</v>
      </c>
      <c r="B158" s="127"/>
      <c r="C158" s="127"/>
      <c r="D158" s="11">
        <f t="shared" ref="D158:K159" si="49">D154+D156</f>
        <v>0</v>
      </c>
      <c r="E158" s="11">
        <f t="shared" si="49"/>
        <v>0</v>
      </c>
      <c r="F158" s="11">
        <f t="shared" si="49"/>
        <v>0</v>
      </c>
      <c r="G158" s="11">
        <f t="shared" si="49"/>
        <v>0</v>
      </c>
      <c r="H158" s="11">
        <f t="shared" si="49"/>
        <v>0</v>
      </c>
      <c r="I158" s="11">
        <f t="shared" si="49"/>
        <v>0</v>
      </c>
      <c r="J158" s="11">
        <f t="shared" si="49"/>
        <v>0</v>
      </c>
      <c r="K158" s="11">
        <f t="shared" si="49"/>
        <v>0</v>
      </c>
    </row>
    <row r="159" spans="1:16" ht="29.25" customHeight="1" x14ac:dyDescent="0.2">
      <c r="A159" s="230" t="s">
        <v>64</v>
      </c>
      <c r="B159" s="230"/>
      <c r="C159" s="230"/>
      <c r="D159" s="11">
        <f t="shared" si="49"/>
        <v>0</v>
      </c>
      <c r="E159" s="11">
        <f t="shared" si="49"/>
        <v>0</v>
      </c>
      <c r="F159" s="11">
        <f t="shared" si="49"/>
        <v>0</v>
      </c>
      <c r="G159" s="11">
        <f t="shared" si="49"/>
        <v>0</v>
      </c>
      <c r="H159" s="11">
        <f t="shared" si="49"/>
        <v>0</v>
      </c>
      <c r="I159" s="11">
        <f>I155+I157</f>
        <v>0</v>
      </c>
      <c r="J159" s="11">
        <f t="shared" si="49"/>
        <v>0</v>
      </c>
      <c r="K159" s="11">
        <f t="shared" si="49"/>
        <v>0</v>
      </c>
    </row>
    <row r="160" spans="1:16" ht="38.25" customHeight="1" x14ac:dyDescent="0.2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</row>
    <row r="161" spans="1:11" ht="4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</row>
    <row r="162" spans="1:11" ht="53.2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</row>
    <row r="163" spans="1:11" ht="49.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</row>
    <row r="164" spans="1:11" ht="56.2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1:11" ht="50.2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</row>
    <row r="166" spans="1:11" ht="72.75" customHeight="1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</row>
    <row r="167" spans="1:11" ht="27" customHeight="1" x14ac:dyDescent="0.2">
      <c r="A167" s="221" t="s">
        <v>199</v>
      </c>
      <c r="B167" s="222"/>
      <c r="C167" s="222"/>
      <c r="D167" s="222"/>
      <c r="E167" s="222"/>
      <c r="F167" s="222"/>
      <c r="G167" s="222"/>
      <c r="H167" s="222"/>
      <c r="I167" s="222"/>
      <c r="J167" s="222"/>
      <c r="K167" s="223"/>
    </row>
    <row r="168" spans="1:11" ht="9" customHeight="1" x14ac:dyDescent="0.2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3"/>
    </row>
    <row r="169" spans="1:11" ht="24.95" customHeight="1" x14ac:dyDescent="0.2">
      <c r="A169" s="227" t="s">
        <v>65</v>
      </c>
      <c r="B169" s="228"/>
      <c r="C169" s="228"/>
      <c r="D169" s="228"/>
      <c r="E169" s="228"/>
      <c r="F169" s="228"/>
      <c r="G169" s="228"/>
      <c r="H169" s="228"/>
      <c r="I169" s="228"/>
      <c r="J169" s="228"/>
      <c r="K169" s="229"/>
    </row>
    <row r="170" spans="1:11" ht="24.95" customHeight="1" x14ac:dyDescent="0.2">
      <c r="A170" s="255" t="s">
        <v>171</v>
      </c>
      <c r="B170" s="255"/>
      <c r="C170" s="255"/>
      <c r="D170" s="87">
        <f>D153</f>
        <v>46139</v>
      </c>
      <c r="E170" s="87">
        <f t="shared" ref="E170:G170" si="50">E153</f>
        <v>46140</v>
      </c>
      <c r="F170" s="87">
        <f t="shared" si="50"/>
        <v>46141</v>
      </c>
      <c r="G170" s="87">
        <f t="shared" si="50"/>
        <v>46142</v>
      </c>
      <c r="H170" s="87"/>
      <c r="I170" s="87"/>
      <c r="J170" s="87"/>
      <c r="K170" s="86" t="s">
        <v>173</v>
      </c>
    </row>
    <row r="171" spans="1:11" ht="24.95" customHeight="1" x14ac:dyDescent="0.2">
      <c r="A171" s="9">
        <v>1</v>
      </c>
      <c r="B171" s="220" t="s">
        <v>66</v>
      </c>
      <c r="C171" s="220"/>
      <c r="D171" s="113">
        <v>0</v>
      </c>
      <c r="E171" s="113">
        <v>0</v>
      </c>
      <c r="F171" s="113">
        <v>0</v>
      </c>
      <c r="G171" s="113">
        <v>0</v>
      </c>
      <c r="H171" s="116">
        <v>0</v>
      </c>
      <c r="I171" s="116">
        <v>0</v>
      </c>
      <c r="J171" s="116">
        <v>0</v>
      </c>
      <c r="K171" s="114">
        <f>SUM(D171:J171)</f>
        <v>0</v>
      </c>
    </row>
    <row r="172" spans="1:11" ht="24.95" customHeight="1" x14ac:dyDescent="0.2">
      <c r="A172" s="9">
        <v>2</v>
      </c>
      <c r="B172" s="220" t="s">
        <v>67</v>
      </c>
      <c r="C172" s="220"/>
      <c r="D172" s="113">
        <v>0</v>
      </c>
      <c r="E172" s="113">
        <v>0</v>
      </c>
      <c r="F172" s="113">
        <v>0</v>
      </c>
      <c r="G172" s="113">
        <v>0</v>
      </c>
      <c r="H172" s="116">
        <v>0</v>
      </c>
      <c r="I172" s="116">
        <v>0</v>
      </c>
      <c r="J172" s="116">
        <v>0</v>
      </c>
      <c r="K172" s="114">
        <f>SUM(D172:J172)</f>
        <v>0</v>
      </c>
    </row>
    <row r="173" spans="1:11" ht="24.95" customHeight="1" x14ac:dyDescent="0.2">
      <c r="A173" s="9">
        <v>3</v>
      </c>
      <c r="B173" s="184" t="s">
        <v>68</v>
      </c>
      <c r="C173" s="184"/>
      <c r="D173" s="113">
        <v>0</v>
      </c>
      <c r="E173" s="113">
        <v>0</v>
      </c>
      <c r="F173" s="113">
        <v>0</v>
      </c>
      <c r="G173" s="113">
        <v>0</v>
      </c>
      <c r="H173" s="116">
        <v>0</v>
      </c>
      <c r="I173" s="116">
        <v>0</v>
      </c>
      <c r="J173" s="116">
        <v>0</v>
      </c>
      <c r="K173" s="114">
        <f t="shared" ref="K173:K176" si="51">SUM(D173:J173)</f>
        <v>0</v>
      </c>
    </row>
    <row r="174" spans="1:11" ht="24.95" customHeight="1" x14ac:dyDescent="0.2">
      <c r="A174" s="9">
        <v>4</v>
      </c>
      <c r="B174" s="184" t="s">
        <v>69</v>
      </c>
      <c r="C174" s="184"/>
      <c r="D174" s="113">
        <v>0</v>
      </c>
      <c r="E174" s="113">
        <v>0</v>
      </c>
      <c r="F174" s="113">
        <v>0</v>
      </c>
      <c r="G174" s="113">
        <v>0</v>
      </c>
      <c r="H174" s="116">
        <v>0</v>
      </c>
      <c r="I174" s="116">
        <v>0</v>
      </c>
      <c r="J174" s="116">
        <v>0</v>
      </c>
      <c r="K174" s="114">
        <f t="shared" si="51"/>
        <v>0</v>
      </c>
    </row>
    <row r="175" spans="1:11" ht="24.95" customHeight="1" x14ac:dyDescent="0.2">
      <c r="A175" s="9">
        <v>5</v>
      </c>
      <c r="B175" s="184" t="s">
        <v>70</v>
      </c>
      <c r="C175" s="184"/>
      <c r="D175" s="113">
        <v>0</v>
      </c>
      <c r="E175" s="113">
        <v>0</v>
      </c>
      <c r="F175" s="113">
        <v>0</v>
      </c>
      <c r="G175" s="113">
        <v>0</v>
      </c>
      <c r="H175" s="116">
        <v>0</v>
      </c>
      <c r="I175" s="116">
        <v>0</v>
      </c>
      <c r="J175" s="116">
        <v>0</v>
      </c>
      <c r="K175" s="114">
        <f t="shared" si="51"/>
        <v>0</v>
      </c>
    </row>
    <row r="176" spans="1:11" ht="24.95" customHeight="1" x14ac:dyDescent="0.2">
      <c r="A176" s="9">
        <v>6</v>
      </c>
      <c r="B176" s="184" t="s">
        <v>71</v>
      </c>
      <c r="C176" s="184"/>
      <c r="D176" s="113">
        <v>0</v>
      </c>
      <c r="E176" s="113">
        <v>0</v>
      </c>
      <c r="F176" s="113">
        <v>0</v>
      </c>
      <c r="G176" s="113">
        <v>0</v>
      </c>
      <c r="H176" s="116">
        <v>0</v>
      </c>
      <c r="I176" s="116">
        <v>0</v>
      </c>
      <c r="J176" s="116">
        <v>0</v>
      </c>
      <c r="K176" s="114">
        <f t="shared" si="51"/>
        <v>0</v>
      </c>
    </row>
    <row r="177" spans="1:16" ht="24.95" customHeight="1" x14ac:dyDescent="0.2">
      <c r="A177" s="9">
        <v>7</v>
      </c>
      <c r="B177" s="184" t="s">
        <v>72</v>
      </c>
      <c r="C177" s="184"/>
      <c r="D177" s="113">
        <v>0</v>
      </c>
      <c r="E177" s="113">
        <v>0</v>
      </c>
      <c r="F177" s="113">
        <v>0</v>
      </c>
      <c r="G177" s="113">
        <v>0</v>
      </c>
      <c r="H177" s="116">
        <v>0</v>
      </c>
      <c r="I177" s="116">
        <v>0</v>
      </c>
      <c r="J177" s="116">
        <v>0</v>
      </c>
      <c r="K177" s="114">
        <f>SUM(D177:J177)</f>
        <v>0</v>
      </c>
    </row>
    <row r="178" spans="1:16" ht="24.95" customHeight="1" x14ac:dyDescent="0.2">
      <c r="A178" s="9">
        <v>8</v>
      </c>
      <c r="B178" s="184" t="s">
        <v>73</v>
      </c>
      <c r="C178" s="184"/>
      <c r="D178" s="113">
        <v>0</v>
      </c>
      <c r="E178" s="113">
        <v>0</v>
      </c>
      <c r="F178" s="113">
        <v>0</v>
      </c>
      <c r="G178" s="113">
        <v>0</v>
      </c>
      <c r="H178" s="116">
        <v>0</v>
      </c>
      <c r="I178" s="116">
        <v>0</v>
      </c>
      <c r="J178" s="116">
        <v>0</v>
      </c>
      <c r="K178" s="114">
        <f>SUM(D178:J178)</f>
        <v>0</v>
      </c>
    </row>
    <row r="179" spans="1:16" ht="24.95" customHeight="1" x14ac:dyDescent="0.2">
      <c r="A179" s="9">
        <v>9</v>
      </c>
      <c r="B179" s="118"/>
      <c r="C179" s="118"/>
      <c r="D179" s="17"/>
      <c r="E179" s="17"/>
      <c r="F179" s="17"/>
      <c r="G179" s="17"/>
      <c r="H179" s="17"/>
      <c r="I179" s="17"/>
      <c r="J179" s="17"/>
      <c r="K179" s="29"/>
    </row>
    <row r="180" spans="1:16" s="6" customFormat="1" ht="24.95" customHeight="1" x14ac:dyDescent="0.2">
      <c r="A180" s="9">
        <v>10</v>
      </c>
      <c r="B180" s="118"/>
      <c r="C180" s="118"/>
      <c r="D180" s="17"/>
      <c r="E180" s="17"/>
      <c r="F180" s="17"/>
      <c r="G180" s="17"/>
      <c r="H180" s="17"/>
      <c r="I180" s="17"/>
      <c r="J180" s="17"/>
      <c r="K180" s="29"/>
    </row>
    <row r="181" spans="1:16" s="6" customFormat="1" ht="24.95" customHeight="1" x14ac:dyDescent="0.2">
      <c r="A181" s="9">
        <v>11</v>
      </c>
      <c r="B181" s="118"/>
      <c r="C181" s="118"/>
      <c r="D181" s="17"/>
      <c r="E181" s="17"/>
      <c r="F181" s="17"/>
      <c r="G181" s="17"/>
      <c r="H181" s="17"/>
      <c r="I181" s="17"/>
      <c r="J181" s="17"/>
      <c r="K181" s="29"/>
    </row>
    <row r="182" spans="1:16" ht="24.95" customHeight="1" x14ac:dyDescent="0.2">
      <c r="A182" s="9">
        <v>12</v>
      </c>
      <c r="B182" s="118"/>
      <c r="C182" s="118"/>
      <c r="D182" s="17"/>
      <c r="E182" s="17"/>
      <c r="F182" s="17"/>
      <c r="G182" s="17"/>
      <c r="H182" s="17"/>
      <c r="I182" s="17"/>
      <c r="J182" s="17"/>
      <c r="K182" s="29"/>
    </row>
    <row r="183" spans="1:16" ht="24.95" customHeight="1" x14ac:dyDescent="0.2">
      <c r="A183" s="230" t="s">
        <v>74</v>
      </c>
      <c r="B183" s="230"/>
      <c r="C183" s="230"/>
      <c r="D183" s="11">
        <f>D171+D173+D175+D177+D179+D181</f>
        <v>0</v>
      </c>
      <c r="E183" s="11">
        <f t="shared" ref="E183:K184" si="52">E171+E173+E175+E177+E179+E181</f>
        <v>0</v>
      </c>
      <c r="F183" s="11">
        <f t="shared" si="52"/>
        <v>0</v>
      </c>
      <c r="G183" s="11">
        <f t="shared" si="52"/>
        <v>0</v>
      </c>
      <c r="H183" s="11">
        <f t="shared" si="52"/>
        <v>0</v>
      </c>
      <c r="I183" s="11">
        <f t="shared" si="52"/>
        <v>0</v>
      </c>
      <c r="J183" s="11">
        <f t="shared" si="52"/>
        <v>0</v>
      </c>
      <c r="K183" s="11">
        <f>K171+K173+K175+K177+K179+K181</f>
        <v>0</v>
      </c>
    </row>
    <row r="184" spans="1:16" ht="24.95" customHeight="1" x14ac:dyDescent="0.2">
      <c r="A184" s="230" t="s">
        <v>75</v>
      </c>
      <c r="B184" s="230"/>
      <c r="C184" s="230"/>
      <c r="D184" s="11">
        <f>D172+D174+D176+D178+D180+D182</f>
        <v>0</v>
      </c>
      <c r="E184" s="11">
        <f t="shared" si="52"/>
        <v>0</v>
      </c>
      <c r="F184" s="11">
        <f t="shared" si="52"/>
        <v>0</v>
      </c>
      <c r="G184" s="11">
        <f t="shared" si="52"/>
        <v>0</v>
      </c>
      <c r="H184" s="11">
        <f t="shared" si="52"/>
        <v>0</v>
      </c>
      <c r="I184" s="11">
        <f t="shared" si="52"/>
        <v>0</v>
      </c>
      <c r="J184" s="11">
        <f t="shared" si="52"/>
        <v>0</v>
      </c>
      <c r="K184" s="11">
        <f t="shared" si="52"/>
        <v>0</v>
      </c>
    </row>
    <row r="185" spans="1:16" ht="24.95" customHeight="1" x14ac:dyDescent="0.2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</row>
    <row r="186" spans="1:16" ht="24.95" customHeight="1" x14ac:dyDescent="0.2">
      <c r="A186" s="227" t="s">
        <v>76</v>
      </c>
      <c r="B186" s="228"/>
      <c r="C186" s="228"/>
      <c r="D186" s="228"/>
      <c r="E186" s="228"/>
      <c r="F186" s="228"/>
      <c r="G186" s="228"/>
      <c r="H186" s="228"/>
      <c r="I186" s="228"/>
      <c r="J186" s="228"/>
      <c r="K186" s="229"/>
    </row>
    <row r="187" spans="1:16" ht="24.95" customHeight="1" x14ac:dyDescent="0.2">
      <c r="A187" s="255" t="s">
        <v>171</v>
      </c>
      <c r="B187" s="255"/>
      <c r="C187" s="255"/>
      <c r="D187" s="87">
        <f>D170</f>
        <v>46139</v>
      </c>
      <c r="E187" s="87">
        <f t="shared" ref="E187:G187" si="53">E170</f>
        <v>46140</v>
      </c>
      <c r="F187" s="87">
        <f t="shared" si="53"/>
        <v>46141</v>
      </c>
      <c r="G187" s="87">
        <f t="shared" si="53"/>
        <v>46142</v>
      </c>
      <c r="H187" s="87"/>
      <c r="I187" s="87"/>
      <c r="J187" s="87"/>
      <c r="K187" s="86" t="s">
        <v>173</v>
      </c>
    </row>
    <row r="188" spans="1:16" ht="24.95" customHeight="1" x14ac:dyDescent="0.2">
      <c r="A188" s="9">
        <v>1</v>
      </c>
      <c r="B188" s="118" t="s">
        <v>77</v>
      </c>
      <c r="C188" s="118"/>
      <c r="D188" s="17">
        <v>0</v>
      </c>
      <c r="E188" s="17">
        <v>0</v>
      </c>
      <c r="F188" s="17">
        <v>0</v>
      </c>
      <c r="G188" s="17">
        <v>0</v>
      </c>
      <c r="H188" s="115">
        <v>0</v>
      </c>
      <c r="I188" s="115">
        <v>0</v>
      </c>
      <c r="J188" s="115">
        <v>0</v>
      </c>
      <c r="K188" s="29">
        <f>SUM(D188:J188)</f>
        <v>0</v>
      </c>
    </row>
    <row r="189" spans="1:16" ht="24.95" customHeight="1" x14ac:dyDescent="0.2">
      <c r="A189" s="9">
        <v>2</v>
      </c>
      <c r="B189" s="118" t="s">
        <v>78</v>
      </c>
      <c r="C189" s="118"/>
      <c r="D189" s="17">
        <v>0</v>
      </c>
      <c r="E189" s="17">
        <v>0</v>
      </c>
      <c r="F189" s="17">
        <v>0</v>
      </c>
      <c r="G189" s="17">
        <v>0</v>
      </c>
      <c r="H189" s="115">
        <v>0</v>
      </c>
      <c r="I189" s="115">
        <v>0</v>
      </c>
      <c r="J189" s="115">
        <v>0</v>
      </c>
      <c r="K189" s="29">
        <f>SUM(D189:J189)</f>
        <v>0</v>
      </c>
    </row>
    <row r="190" spans="1:16" ht="24.95" customHeight="1" x14ac:dyDescent="0.2">
      <c r="A190" s="9">
        <v>3</v>
      </c>
      <c r="B190" s="118" t="s">
        <v>79</v>
      </c>
      <c r="C190" s="118"/>
      <c r="D190" s="17">
        <v>0</v>
      </c>
      <c r="E190" s="17">
        <v>0</v>
      </c>
      <c r="F190" s="17">
        <v>0</v>
      </c>
      <c r="G190" s="17">
        <v>0</v>
      </c>
      <c r="H190" s="115">
        <v>0</v>
      </c>
      <c r="I190" s="115">
        <v>0</v>
      </c>
      <c r="J190" s="115">
        <v>0</v>
      </c>
      <c r="K190" s="29">
        <f>SUM(D190:J190)</f>
        <v>0</v>
      </c>
    </row>
    <row r="191" spans="1:16" s="40" customFormat="1" ht="24.95" customHeight="1" x14ac:dyDescent="0.2">
      <c r="A191" s="127" t="s">
        <v>80</v>
      </c>
      <c r="B191" s="127"/>
      <c r="C191" s="127"/>
      <c r="D191" s="12">
        <f>SUM(D188:D190)</f>
        <v>0</v>
      </c>
      <c r="E191" s="12">
        <f t="shared" ref="E191:J191" si="54">SUM(E188:E190)</f>
        <v>0</v>
      </c>
      <c r="F191" s="12">
        <f t="shared" si="54"/>
        <v>0</v>
      </c>
      <c r="G191" s="12">
        <f t="shared" si="54"/>
        <v>0</v>
      </c>
      <c r="H191" s="12">
        <f t="shared" si="54"/>
        <v>0</v>
      </c>
      <c r="I191" s="12">
        <f t="shared" si="54"/>
        <v>0</v>
      </c>
      <c r="J191" s="12">
        <f t="shared" si="54"/>
        <v>0</v>
      </c>
      <c r="K191" s="109">
        <f>SUM(K188:K190)</f>
        <v>0</v>
      </c>
      <c r="O191" s="43"/>
      <c r="P191" s="58"/>
    </row>
    <row r="192" spans="1:16" s="40" customFormat="1" ht="24.95" customHeight="1" x14ac:dyDescent="0.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O192" s="43"/>
      <c r="P192" s="58"/>
    </row>
    <row r="193" spans="1:16" ht="24.95" customHeight="1" x14ac:dyDescent="0.2">
      <c r="A193" s="224" t="s">
        <v>85</v>
      </c>
      <c r="B193" s="224"/>
      <c r="C193" s="181" t="s">
        <v>86</v>
      </c>
      <c r="D193" s="181"/>
      <c r="E193" s="181"/>
      <c r="F193" s="181"/>
      <c r="G193" s="181"/>
      <c r="H193" s="181"/>
      <c r="I193" s="181"/>
      <c r="J193" s="181"/>
      <c r="K193" s="181"/>
    </row>
    <row r="194" spans="1:16" ht="24.95" customHeight="1" x14ac:dyDescent="0.2">
      <c r="A194" s="120">
        <v>1</v>
      </c>
      <c r="B194" s="120"/>
      <c r="C194" s="192"/>
      <c r="D194" s="225"/>
      <c r="E194" s="225"/>
      <c r="F194" s="225"/>
      <c r="G194" s="225"/>
      <c r="H194" s="225"/>
      <c r="I194" s="225"/>
      <c r="J194" s="225"/>
      <c r="K194" s="225"/>
    </row>
    <row r="195" spans="1:16" ht="24.95" customHeight="1" x14ac:dyDescent="0.2">
      <c r="A195" s="120">
        <v>2</v>
      </c>
      <c r="B195" s="120">
        <v>2</v>
      </c>
      <c r="C195" s="170"/>
      <c r="D195" s="171"/>
      <c r="E195" s="171"/>
      <c r="F195" s="171"/>
      <c r="G195" s="171"/>
      <c r="H195" s="171"/>
      <c r="I195" s="171"/>
      <c r="J195" s="171"/>
      <c r="K195" s="171"/>
    </row>
    <row r="196" spans="1:16" ht="24.95" customHeight="1" x14ac:dyDescent="0.2">
      <c r="A196" s="120">
        <v>3</v>
      </c>
      <c r="B196" s="120"/>
      <c r="C196" s="170"/>
      <c r="D196" s="171"/>
      <c r="E196" s="171"/>
      <c r="F196" s="171"/>
      <c r="G196" s="171"/>
      <c r="H196" s="171"/>
      <c r="I196" s="171"/>
      <c r="J196" s="171"/>
      <c r="K196" s="171"/>
    </row>
    <row r="197" spans="1:16" ht="24.95" customHeight="1" x14ac:dyDescent="0.2">
      <c r="A197" s="120">
        <v>4</v>
      </c>
      <c r="B197" s="120">
        <v>2</v>
      </c>
      <c r="C197" s="170"/>
      <c r="D197" s="171"/>
      <c r="E197" s="171"/>
      <c r="F197" s="171"/>
      <c r="G197" s="171"/>
      <c r="H197" s="171"/>
      <c r="I197" s="171"/>
      <c r="J197" s="171"/>
      <c r="K197" s="171"/>
    </row>
    <row r="198" spans="1:16" ht="24.95" customHeight="1" x14ac:dyDescent="0.2">
      <c r="A198" s="120">
        <v>5</v>
      </c>
      <c r="B198" s="120"/>
      <c r="C198" s="170"/>
      <c r="D198" s="171"/>
      <c r="E198" s="171"/>
      <c r="F198" s="171"/>
      <c r="G198" s="171"/>
      <c r="H198" s="171"/>
      <c r="I198" s="171"/>
      <c r="J198" s="171"/>
      <c r="K198" s="171"/>
    </row>
    <row r="199" spans="1:16" ht="24.95" customHeight="1" x14ac:dyDescent="0.2">
      <c r="A199" s="120">
        <v>6</v>
      </c>
      <c r="B199" s="120">
        <v>2</v>
      </c>
      <c r="C199" s="170"/>
      <c r="D199" s="171"/>
      <c r="E199" s="171"/>
      <c r="F199" s="171"/>
      <c r="G199" s="171"/>
      <c r="H199" s="171"/>
      <c r="I199" s="171"/>
      <c r="J199" s="171"/>
      <c r="K199" s="171"/>
    </row>
    <row r="200" spans="1:16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</row>
    <row r="201" spans="1:16" ht="24.95" customHeight="1" x14ac:dyDescent="0.2">
      <c r="A201" s="224" t="s">
        <v>85</v>
      </c>
      <c r="B201" s="224"/>
      <c r="C201" s="181" t="s">
        <v>87</v>
      </c>
      <c r="D201" s="181"/>
      <c r="E201" s="181"/>
      <c r="F201" s="181"/>
      <c r="G201" s="181"/>
      <c r="H201" s="181"/>
      <c r="I201" s="181"/>
      <c r="J201" s="181"/>
      <c r="K201" s="181"/>
    </row>
    <row r="202" spans="1:16" s="40" customFormat="1" ht="24.95" customHeight="1" x14ac:dyDescent="0.2">
      <c r="A202" s="120">
        <v>1</v>
      </c>
      <c r="B202" s="120"/>
      <c r="C202" s="192"/>
      <c r="D202" s="225"/>
      <c r="E202" s="225"/>
      <c r="F202" s="225"/>
      <c r="G202" s="225"/>
      <c r="H202" s="225"/>
      <c r="I202" s="225"/>
      <c r="J202" s="225"/>
      <c r="K202" s="225"/>
      <c r="P202" s="60"/>
    </row>
    <row r="203" spans="1:16" s="40" customFormat="1" ht="24.95" customHeight="1" x14ac:dyDescent="0.2">
      <c r="A203" s="120">
        <v>2</v>
      </c>
      <c r="B203" s="120">
        <v>2</v>
      </c>
      <c r="C203" s="170"/>
      <c r="D203" s="171"/>
      <c r="E203" s="171"/>
      <c r="F203" s="171"/>
      <c r="G203" s="171"/>
      <c r="H203" s="171"/>
      <c r="I203" s="171"/>
      <c r="J203" s="171"/>
      <c r="K203" s="171"/>
      <c r="P203" s="60"/>
    </row>
    <row r="204" spans="1:16" s="40" customFormat="1" ht="24.95" customHeight="1" x14ac:dyDescent="0.2">
      <c r="A204" s="120">
        <v>3</v>
      </c>
      <c r="B204" s="120"/>
      <c r="C204" s="170"/>
      <c r="D204" s="171"/>
      <c r="E204" s="171"/>
      <c r="F204" s="171"/>
      <c r="G204" s="171"/>
      <c r="H204" s="171"/>
      <c r="I204" s="171"/>
      <c r="J204" s="171"/>
      <c r="K204" s="171"/>
      <c r="P204" s="60"/>
    </row>
    <row r="205" spans="1:16" s="40" customFormat="1" ht="24.95" customHeight="1" x14ac:dyDescent="0.2">
      <c r="A205" s="120">
        <v>4</v>
      </c>
      <c r="B205" s="120">
        <v>2</v>
      </c>
      <c r="C205" s="170"/>
      <c r="D205" s="171"/>
      <c r="E205" s="171"/>
      <c r="F205" s="171"/>
      <c r="G205" s="171"/>
      <c r="H205" s="171"/>
      <c r="I205" s="171"/>
      <c r="J205" s="171"/>
      <c r="K205" s="171"/>
      <c r="P205" s="60"/>
    </row>
    <row r="206" spans="1:16" s="40" customFormat="1" ht="24.95" customHeight="1" x14ac:dyDescent="0.2">
      <c r="A206" s="120">
        <v>5</v>
      </c>
      <c r="B206" s="120"/>
      <c r="C206" s="170"/>
      <c r="D206" s="171"/>
      <c r="E206" s="171"/>
      <c r="F206" s="171"/>
      <c r="G206" s="171"/>
      <c r="H206" s="171"/>
      <c r="I206" s="171"/>
      <c r="J206" s="171"/>
      <c r="K206" s="171"/>
      <c r="P206" s="60"/>
    </row>
    <row r="207" spans="1:16" ht="24.95" customHeight="1" x14ac:dyDescent="0.2">
      <c r="A207" s="120">
        <v>6</v>
      </c>
      <c r="B207" s="120">
        <v>2</v>
      </c>
      <c r="C207" s="170"/>
      <c r="D207" s="171"/>
      <c r="E207" s="171"/>
      <c r="F207" s="171"/>
      <c r="G207" s="171"/>
      <c r="H207" s="171"/>
      <c r="I207" s="171"/>
      <c r="J207" s="171"/>
      <c r="K207" s="171"/>
    </row>
    <row r="208" spans="1:16" ht="15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</row>
    <row r="209" spans="1:11" ht="24.95" customHeight="1" x14ac:dyDescent="0.2">
      <c r="A209" s="181" t="s">
        <v>88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spans="1:11" ht="27.95" customHeight="1" x14ac:dyDescent="0.2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 spans="1:11" ht="27.95" customHeight="1" x14ac:dyDescent="0.2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 spans="1:11" ht="27.95" customHeight="1" x14ac:dyDescent="0.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 spans="1:11" ht="27.95" customHeight="1" x14ac:dyDescent="0.2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 spans="1:11" ht="27.9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</row>
    <row r="215" spans="1:11" ht="23.25" customHeight="1" x14ac:dyDescent="0.2">
      <c r="A215" s="188" t="s">
        <v>89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</row>
    <row r="216" spans="1:11" x14ac:dyDescent="0.2">
      <c r="A216" s="189"/>
      <c r="B216" s="189"/>
      <c r="C216" s="189"/>
      <c r="D216" s="189"/>
      <c r="E216" s="190"/>
      <c r="F216" s="190"/>
      <c r="G216" s="190"/>
      <c r="H216" s="190"/>
      <c r="I216" s="190"/>
      <c r="J216" s="190"/>
      <c r="K216" s="190"/>
    </row>
    <row r="217" spans="1:11" x14ac:dyDescent="0.2">
      <c r="A217" s="189"/>
      <c r="B217" s="189"/>
      <c r="C217" s="189"/>
      <c r="D217" s="189"/>
      <c r="E217" s="190"/>
      <c r="F217" s="190"/>
      <c r="G217" s="190"/>
      <c r="H217" s="190"/>
      <c r="I217" s="190"/>
      <c r="J217" s="190"/>
      <c r="K217" s="190"/>
    </row>
    <row r="218" spans="1:11" x14ac:dyDescent="0.2">
      <c r="A218" s="189"/>
      <c r="B218" s="189"/>
      <c r="C218" s="189"/>
      <c r="D218" s="189"/>
      <c r="E218" s="190"/>
      <c r="F218" s="190"/>
      <c r="G218" s="190"/>
      <c r="H218" s="190"/>
      <c r="I218" s="190"/>
      <c r="J218" s="190"/>
      <c r="K218" s="190"/>
    </row>
    <row r="219" spans="1:11" x14ac:dyDescent="0.2">
      <c r="A219" s="189"/>
      <c r="B219" s="189"/>
      <c r="C219" s="189"/>
      <c r="D219" s="189"/>
      <c r="E219" s="190"/>
      <c r="F219" s="190"/>
      <c r="G219" s="190"/>
      <c r="H219" s="190"/>
      <c r="I219" s="190"/>
      <c r="J219" s="190"/>
      <c r="K219" s="190"/>
    </row>
    <row r="220" spans="1:11" x14ac:dyDescent="0.2">
      <c r="A220" s="189"/>
      <c r="B220" s="189"/>
      <c r="C220" s="189"/>
      <c r="D220" s="189"/>
      <c r="E220" s="190"/>
      <c r="F220" s="190"/>
      <c r="G220" s="190"/>
      <c r="H220" s="190"/>
      <c r="I220" s="190"/>
      <c r="J220" s="190"/>
      <c r="K220" s="190"/>
    </row>
    <row r="221" spans="1:11" x14ac:dyDescent="0.2">
      <c r="A221" s="189"/>
      <c r="B221" s="189"/>
      <c r="C221" s="189"/>
      <c r="D221" s="189"/>
      <c r="E221" s="190"/>
      <c r="F221" s="190"/>
      <c r="G221" s="190"/>
      <c r="H221" s="190"/>
      <c r="I221" s="190"/>
      <c r="J221" s="190"/>
      <c r="K221" s="190"/>
    </row>
    <row r="222" spans="1:11" x14ac:dyDescent="0.2">
      <c r="A222" s="189"/>
      <c r="B222" s="189"/>
      <c r="C222" s="189"/>
      <c r="D222" s="189"/>
      <c r="E222" s="190"/>
      <c r="F222" s="190"/>
      <c r="G222" s="190"/>
      <c r="H222" s="190"/>
      <c r="I222" s="190"/>
      <c r="J222" s="190"/>
      <c r="K222" s="190"/>
    </row>
    <row r="223" spans="1:11" x14ac:dyDescent="0.2">
      <c r="A223" s="189"/>
      <c r="B223" s="189"/>
      <c r="C223" s="189"/>
      <c r="D223" s="189"/>
      <c r="E223" s="190"/>
      <c r="F223" s="190"/>
      <c r="G223" s="190"/>
      <c r="H223" s="190"/>
      <c r="I223" s="190"/>
      <c r="J223" s="190"/>
      <c r="K223" s="190"/>
    </row>
    <row r="224" spans="1:11" x14ac:dyDescent="0.2">
      <c r="A224" s="189"/>
      <c r="B224" s="189"/>
      <c r="C224" s="189"/>
      <c r="D224" s="189"/>
      <c r="E224" s="190"/>
      <c r="F224" s="190"/>
      <c r="G224" s="190"/>
      <c r="H224" s="190"/>
      <c r="I224" s="190"/>
      <c r="J224" s="190"/>
      <c r="K224" s="190"/>
    </row>
    <row r="225" spans="1:11" x14ac:dyDescent="0.2">
      <c r="A225" s="189"/>
      <c r="B225" s="189"/>
      <c r="C225" s="189"/>
      <c r="D225" s="189"/>
      <c r="E225" s="190"/>
      <c r="F225" s="190"/>
      <c r="G225" s="190"/>
      <c r="H225" s="190"/>
      <c r="I225" s="190"/>
      <c r="J225" s="190"/>
      <c r="K225" s="190"/>
    </row>
    <row r="226" spans="1:11" x14ac:dyDescent="0.2">
      <c r="A226" s="189"/>
      <c r="B226" s="189"/>
      <c r="C226" s="189"/>
      <c r="D226" s="189"/>
      <c r="E226" s="190"/>
      <c r="F226" s="190"/>
      <c r="G226" s="190"/>
      <c r="H226" s="190"/>
      <c r="I226" s="190"/>
      <c r="J226" s="190"/>
      <c r="K226" s="190"/>
    </row>
    <row r="227" spans="1:11" x14ac:dyDescent="0.2">
      <c r="A227" s="189"/>
      <c r="B227" s="189"/>
      <c r="C227" s="189"/>
      <c r="D227" s="189"/>
      <c r="E227" s="190"/>
      <c r="F227" s="190"/>
      <c r="G227" s="190"/>
      <c r="H227" s="190"/>
      <c r="I227" s="190"/>
      <c r="J227" s="190"/>
      <c r="K227" s="190"/>
    </row>
    <row r="228" spans="1:11" x14ac:dyDescent="0.2">
      <c r="A228" s="189"/>
      <c r="B228" s="189"/>
      <c r="C228" s="189"/>
      <c r="D228" s="189"/>
      <c r="E228" s="190"/>
      <c r="F228" s="190"/>
      <c r="G228" s="190"/>
      <c r="H228" s="190"/>
      <c r="I228" s="190"/>
      <c r="J228" s="190"/>
      <c r="K228" s="190"/>
    </row>
    <row r="229" spans="1:11" ht="36" customHeight="1" x14ac:dyDescent="0.2">
      <c r="A229" s="189"/>
      <c r="B229" s="189"/>
      <c r="C229" s="189"/>
      <c r="D229" s="189"/>
      <c r="E229" s="190"/>
      <c r="F229" s="190"/>
      <c r="G229" s="190"/>
      <c r="H229" s="190"/>
      <c r="I229" s="190"/>
      <c r="J229" s="190"/>
      <c r="K229" s="190"/>
    </row>
    <row r="230" spans="1:11" x14ac:dyDescent="0.2">
      <c r="A230" s="189"/>
      <c r="B230" s="189"/>
      <c r="C230" s="189"/>
      <c r="D230" s="189"/>
      <c r="E230" s="190"/>
      <c r="F230" s="190"/>
      <c r="G230" s="190"/>
      <c r="H230" s="190"/>
      <c r="I230" s="190"/>
      <c r="J230" s="190"/>
      <c r="K230" s="190"/>
    </row>
    <row r="231" spans="1:11" x14ac:dyDescent="0.2">
      <c r="A231" s="189"/>
      <c r="B231" s="189"/>
      <c r="C231" s="189"/>
      <c r="D231" s="189"/>
      <c r="E231" s="190"/>
      <c r="F231" s="190"/>
      <c r="G231" s="190"/>
      <c r="H231" s="190"/>
      <c r="I231" s="190"/>
      <c r="J231" s="190"/>
      <c r="K231" s="190"/>
    </row>
    <row r="232" spans="1:11" x14ac:dyDescent="0.2">
      <c r="A232" s="192"/>
      <c r="B232" s="192"/>
      <c r="C232" s="192"/>
      <c r="D232" s="192"/>
      <c r="E232" s="193"/>
      <c r="F232" s="194"/>
      <c r="G232" s="194"/>
      <c r="H232" s="194"/>
      <c r="I232" s="194"/>
      <c r="J232" s="194"/>
      <c r="K232" s="195"/>
    </row>
    <row r="233" spans="1:11" x14ac:dyDescent="0.2">
      <c r="A233" s="171"/>
      <c r="B233" s="171"/>
      <c r="C233" s="171"/>
      <c r="D233" s="171"/>
      <c r="E233" s="190"/>
      <c r="F233" s="190"/>
      <c r="G233" s="190"/>
      <c r="H233" s="190"/>
      <c r="I233" s="190"/>
      <c r="J233" s="190"/>
      <c r="K233" s="190"/>
    </row>
    <row r="234" spans="1:11" x14ac:dyDescent="0.2">
      <c r="A234" s="171"/>
      <c r="B234" s="171"/>
      <c r="C234" s="171"/>
      <c r="D234" s="171"/>
      <c r="E234" s="190"/>
      <c r="F234" s="190"/>
      <c r="G234" s="190"/>
      <c r="H234" s="190"/>
      <c r="I234" s="190"/>
      <c r="J234" s="190"/>
      <c r="K234" s="190"/>
    </row>
    <row r="235" spans="1:11" x14ac:dyDescent="0.2">
      <c r="A235" s="171"/>
      <c r="B235" s="171"/>
      <c r="C235" s="171"/>
      <c r="D235" s="171"/>
      <c r="E235" s="190"/>
      <c r="F235" s="190"/>
      <c r="G235" s="190"/>
      <c r="H235" s="190"/>
      <c r="I235" s="190"/>
      <c r="J235" s="190"/>
      <c r="K235" s="190"/>
    </row>
    <row r="236" spans="1:11" x14ac:dyDescent="0.2">
      <c r="A236" s="171"/>
      <c r="B236" s="171"/>
      <c r="C236" s="171"/>
      <c r="D236" s="171"/>
      <c r="E236" s="190"/>
      <c r="F236" s="190"/>
      <c r="G236" s="190"/>
      <c r="H236" s="190"/>
      <c r="I236" s="190"/>
      <c r="J236" s="190"/>
      <c r="K236" s="190"/>
    </row>
    <row r="237" spans="1:11" x14ac:dyDescent="0.2">
      <c r="A237" s="171"/>
      <c r="B237" s="171"/>
      <c r="C237" s="171"/>
      <c r="D237" s="171"/>
      <c r="E237" s="190"/>
      <c r="F237" s="190"/>
      <c r="G237" s="190"/>
      <c r="H237" s="190"/>
      <c r="I237" s="190"/>
      <c r="J237" s="190"/>
      <c r="K237" s="190"/>
    </row>
    <row r="238" spans="1:11" x14ac:dyDescent="0.2">
      <c r="A238" s="171"/>
      <c r="B238" s="171"/>
      <c r="C238" s="171"/>
      <c r="D238" s="171"/>
      <c r="E238" s="190"/>
      <c r="F238" s="190"/>
      <c r="G238" s="190"/>
      <c r="H238" s="190"/>
      <c r="I238" s="190"/>
      <c r="J238" s="190"/>
      <c r="K238" s="190"/>
    </row>
    <row r="239" spans="1:11" x14ac:dyDescent="0.2">
      <c r="A239" s="171"/>
      <c r="B239" s="171"/>
      <c r="C239" s="171"/>
      <c r="D239" s="171"/>
      <c r="E239" s="190"/>
      <c r="F239" s="190"/>
      <c r="G239" s="190"/>
      <c r="H239" s="190"/>
      <c r="I239" s="190"/>
      <c r="J239" s="190"/>
      <c r="K239" s="190"/>
    </row>
    <row r="240" spans="1:11" x14ac:dyDescent="0.2">
      <c r="A240" s="171"/>
      <c r="B240" s="171"/>
      <c r="C240" s="171"/>
      <c r="D240" s="171"/>
      <c r="E240" s="190"/>
      <c r="F240" s="190"/>
      <c r="G240" s="190"/>
      <c r="H240" s="190"/>
      <c r="I240" s="190"/>
      <c r="J240" s="190"/>
      <c r="K240" s="190"/>
    </row>
    <row r="241" spans="1:11" x14ac:dyDescent="0.2">
      <c r="A241" s="171"/>
      <c r="B241" s="171"/>
      <c r="C241" s="171"/>
      <c r="D241" s="171"/>
      <c r="E241" s="190"/>
      <c r="F241" s="190"/>
      <c r="G241" s="190"/>
      <c r="H241" s="190"/>
      <c r="I241" s="190"/>
      <c r="J241" s="190"/>
      <c r="K241" s="190"/>
    </row>
    <row r="242" spans="1:11" x14ac:dyDescent="0.2">
      <c r="A242" s="171"/>
      <c r="B242" s="171"/>
      <c r="C242" s="171"/>
      <c r="D242" s="171"/>
      <c r="E242" s="190"/>
      <c r="F242" s="190"/>
      <c r="G242" s="190"/>
      <c r="H242" s="190"/>
      <c r="I242" s="190"/>
      <c r="J242" s="190"/>
      <c r="K242" s="190"/>
    </row>
    <row r="243" spans="1:11" x14ac:dyDescent="0.2">
      <c r="A243" s="171"/>
      <c r="B243" s="171"/>
      <c r="C243" s="171"/>
      <c r="D243" s="171"/>
      <c r="E243" s="190"/>
      <c r="F243" s="190"/>
      <c r="G243" s="190"/>
      <c r="H243" s="190"/>
      <c r="I243" s="190"/>
      <c r="J243" s="190"/>
      <c r="K243" s="190"/>
    </row>
    <row r="244" spans="1:11" x14ac:dyDescent="0.2">
      <c r="A244" s="171"/>
      <c r="B244" s="171"/>
      <c r="C244" s="171"/>
      <c r="D244" s="171"/>
      <c r="E244" s="190"/>
      <c r="F244" s="190"/>
      <c r="G244" s="190"/>
      <c r="H244" s="190"/>
      <c r="I244" s="190"/>
      <c r="J244" s="190"/>
      <c r="K244" s="190"/>
    </row>
    <row r="245" spans="1:11" x14ac:dyDescent="0.2">
      <c r="A245" s="171"/>
      <c r="B245" s="171"/>
      <c r="C245" s="171"/>
      <c r="D245" s="171"/>
      <c r="E245" s="190"/>
      <c r="F245" s="190"/>
      <c r="G245" s="190"/>
      <c r="H245" s="190"/>
      <c r="I245" s="190"/>
      <c r="J245" s="190"/>
      <c r="K245" s="190"/>
    </row>
    <row r="246" spans="1:11" ht="28.5" customHeight="1" x14ac:dyDescent="0.2">
      <c r="A246" s="171"/>
      <c r="B246" s="171"/>
      <c r="C246" s="171"/>
      <c r="D246" s="171"/>
      <c r="E246" s="190"/>
      <c r="F246" s="190"/>
      <c r="G246" s="190"/>
      <c r="H246" s="190"/>
      <c r="I246" s="190"/>
      <c r="J246" s="190"/>
      <c r="K246" s="190"/>
    </row>
    <row r="247" spans="1:11" ht="28.5" customHeight="1" x14ac:dyDescent="0.2">
      <c r="A247" s="171"/>
      <c r="B247" s="171"/>
      <c r="C247" s="171"/>
      <c r="D247" s="171"/>
      <c r="E247" s="190"/>
      <c r="F247" s="190"/>
      <c r="G247" s="190"/>
      <c r="H247" s="190"/>
      <c r="I247" s="190"/>
      <c r="J247" s="190"/>
      <c r="K247" s="190"/>
    </row>
    <row r="248" spans="1:11" ht="12.95" customHeight="1" x14ac:dyDescent="0.2">
      <c r="A248" s="171"/>
      <c r="B248" s="171"/>
      <c r="C248" s="171"/>
      <c r="D248" s="171"/>
      <c r="E248" s="190"/>
      <c r="F248" s="190"/>
      <c r="G248" s="190"/>
      <c r="H248" s="190"/>
      <c r="I248" s="190"/>
      <c r="J248" s="190"/>
      <c r="K248" s="190"/>
    </row>
    <row r="249" spans="1:11" ht="12.95" customHeight="1" x14ac:dyDescent="0.2">
      <c r="A249" s="170"/>
      <c r="B249" s="171"/>
      <c r="C249" s="171"/>
      <c r="D249" s="171"/>
      <c r="E249" s="192"/>
      <c r="F249" s="225"/>
      <c r="G249" s="225"/>
      <c r="H249" s="225"/>
      <c r="I249" s="192"/>
      <c r="J249" s="225"/>
      <c r="K249" s="225"/>
    </row>
    <row r="250" spans="1:11" ht="12.9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</row>
    <row r="251" spans="1:11" ht="12.95" customHeight="1" x14ac:dyDescent="0.2">
      <c r="A251" s="14"/>
      <c r="B251" s="171"/>
      <c r="C251" s="171"/>
      <c r="D251" s="171"/>
      <c r="E251" s="14"/>
      <c r="F251" s="14"/>
      <c r="G251" s="232"/>
      <c r="H251" s="233"/>
      <c r="I251" s="233"/>
      <c r="J251" s="234"/>
      <c r="K251" s="14"/>
    </row>
    <row r="252" spans="1:11" ht="39.75" customHeight="1" x14ac:dyDescent="0.2">
      <c r="A252" s="14"/>
      <c r="B252" s="171"/>
      <c r="C252" s="171"/>
      <c r="D252" s="171"/>
      <c r="E252" s="14"/>
      <c r="F252" s="14"/>
      <c r="G252" s="235"/>
      <c r="H252" s="236"/>
      <c r="I252" s="236"/>
      <c r="J252" s="237"/>
      <c r="K252" s="14"/>
    </row>
    <row r="253" spans="1:11" ht="39.75" customHeight="1" x14ac:dyDescent="0.2">
      <c r="A253" s="14"/>
      <c r="B253" s="171"/>
      <c r="C253" s="171"/>
      <c r="D253" s="171"/>
      <c r="E253" s="14"/>
      <c r="F253" s="14"/>
      <c r="G253" s="238"/>
      <c r="H253" s="239"/>
      <c r="I253" s="239"/>
      <c r="J253" s="240"/>
      <c r="K253" s="14"/>
    </row>
    <row r="254" spans="1:11" ht="39.75" customHeight="1" x14ac:dyDescent="0.2">
      <c r="A254" s="14"/>
      <c r="B254" s="127" t="s">
        <v>90</v>
      </c>
      <c r="C254" s="127"/>
      <c r="D254" s="127"/>
      <c r="E254" s="14"/>
      <c r="F254" s="14"/>
      <c r="G254" s="241" t="s">
        <v>91</v>
      </c>
      <c r="H254" s="242"/>
      <c r="I254" s="242"/>
      <c r="J254" s="243"/>
      <c r="K254" s="14"/>
    </row>
  </sheetData>
  <mergeCells count="255">
    <mergeCell ref="B254:D254"/>
    <mergeCell ref="G254:J254"/>
    <mergeCell ref="A249:D249"/>
    <mergeCell ref="E249:H249"/>
    <mergeCell ref="I249:K249"/>
    <mergeCell ref="A250:K250"/>
    <mergeCell ref="B251:D253"/>
    <mergeCell ref="G251:J253"/>
    <mergeCell ref="A216:D231"/>
    <mergeCell ref="E216:H231"/>
    <mergeCell ref="I216:K231"/>
    <mergeCell ref="A232:D232"/>
    <mergeCell ref="E232:K232"/>
    <mergeCell ref="A233:D248"/>
    <mergeCell ref="E233:H248"/>
    <mergeCell ref="I233:K248"/>
    <mergeCell ref="A210:K210"/>
    <mergeCell ref="A211:K211"/>
    <mergeCell ref="A212:K212"/>
    <mergeCell ref="A213:K213"/>
    <mergeCell ref="A214:K214"/>
    <mergeCell ref="A215:K215"/>
    <mergeCell ref="A206:B206"/>
    <mergeCell ref="C206:K206"/>
    <mergeCell ref="A207:B207"/>
    <mergeCell ref="C207:K207"/>
    <mergeCell ref="A208:K208"/>
    <mergeCell ref="A209:K209"/>
    <mergeCell ref="A203:B203"/>
    <mergeCell ref="C203:K203"/>
    <mergeCell ref="A204:B204"/>
    <mergeCell ref="C204:K204"/>
    <mergeCell ref="A205:B205"/>
    <mergeCell ref="C205:K205"/>
    <mergeCell ref="A199:B199"/>
    <mergeCell ref="C199:K199"/>
    <mergeCell ref="A200:K200"/>
    <mergeCell ref="A201:B201"/>
    <mergeCell ref="C201:K201"/>
    <mergeCell ref="A202:B202"/>
    <mergeCell ref="C202:K202"/>
    <mergeCell ref="A196:B196"/>
    <mergeCell ref="C196:K196"/>
    <mergeCell ref="A197:B197"/>
    <mergeCell ref="C197:K197"/>
    <mergeCell ref="A198:B198"/>
    <mergeCell ref="C198:K198"/>
    <mergeCell ref="A193:B193"/>
    <mergeCell ref="C193:K193"/>
    <mergeCell ref="A194:B194"/>
    <mergeCell ref="C194:K194"/>
    <mergeCell ref="A195:B195"/>
    <mergeCell ref="C195:K195"/>
    <mergeCell ref="A187:C187"/>
    <mergeCell ref="B188:C188"/>
    <mergeCell ref="B189:C189"/>
    <mergeCell ref="B190:C190"/>
    <mergeCell ref="A191:C191"/>
    <mergeCell ref="A192:K192"/>
    <mergeCell ref="B181:C181"/>
    <mergeCell ref="B182:C182"/>
    <mergeCell ref="A183:C183"/>
    <mergeCell ref="A184:C184"/>
    <mergeCell ref="A185:K185"/>
    <mergeCell ref="A186:K186"/>
    <mergeCell ref="B175:C175"/>
    <mergeCell ref="B176:C176"/>
    <mergeCell ref="B177:C177"/>
    <mergeCell ref="B178:C178"/>
    <mergeCell ref="B179:C179"/>
    <mergeCell ref="B180:C180"/>
    <mergeCell ref="A169:K169"/>
    <mergeCell ref="A170:C170"/>
    <mergeCell ref="B171:C171"/>
    <mergeCell ref="B172:C172"/>
    <mergeCell ref="B173:C173"/>
    <mergeCell ref="B174:C174"/>
    <mergeCell ref="B157:C157"/>
    <mergeCell ref="A158:C158"/>
    <mergeCell ref="A159:C159"/>
    <mergeCell ref="A160:K160"/>
    <mergeCell ref="A166:K166"/>
    <mergeCell ref="A167:K167"/>
    <mergeCell ref="A147:K151"/>
    <mergeCell ref="A152:K152"/>
    <mergeCell ref="A153:C153"/>
    <mergeCell ref="B154:C154"/>
    <mergeCell ref="B155:C155"/>
    <mergeCell ref="B156:C156"/>
    <mergeCell ref="A141:C141"/>
    <mergeCell ref="A142:K142"/>
    <mergeCell ref="A143:C143"/>
    <mergeCell ref="B144:C144"/>
    <mergeCell ref="B145:C145"/>
    <mergeCell ref="A146:C146"/>
    <mergeCell ref="B135:C135"/>
    <mergeCell ref="B136:C136"/>
    <mergeCell ref="A137:C137"/>
    <mergeCell ref="A138:K138"/>
    <mergeCell ref="A139:C139"/>
    <mergeCell ref="B140:C140"/>
    <mergeCell ref="A131:B131"/>
    <mergeCell ref="E131:G131"/>
    <mergeCell ref="H131:K131"/>
    <mergeCell ref="A132:K132"/>
    <mergeCell ref="A133:C133"/>
    <mergeCell ref="B134:C134"/>
    <mergeCell ref="A129:B129"/>
    <mergeCell ref="E129:G129"/>
    <mergeCell ref="H129:K129"/>
    <mergeCell ref="A130:B130"/>
    <mergeCell ref="E130:G130"/>
    <mergeCell ref="H130:K130"/>
    <mergeCell ref="J120:K120"/>
    <mergeCell ref="A125:K125"/>
    <mergeCell ref="A126:K126"/>
    <mergeCell ref="A127:K127"/>
    <mergeCell ref="A128:B128"/>
    <mergeCell ref="E128:G128"/>
    <mergeCell ref="H128:K128"/>
    <mergeCell ref="A117:B117"/>
    <mergeCell ref="D117:F117"/>
    <mergeCell ref="A118:B118"/>
    <mergeCell ref="D118:F118"/>
    <mergeCell ref="A119:I119"/>
    <mergeCell ref="A120:I120"/>
    <mergeCell ref="A114:B114"/>
    <mergeCell ref="D114:F114"/>
    <mergeCell ref="A115:B115"/>
    <mergeCell ref="D115:F115"/>
    <mergeCell ref="A116:B116"/>
    <mergeCell ref="D116:F116"/>
    <mergeCell ref="A111:B111"/>
    <mergeCell ref="D111:F111"/>
    <mergeCell ref="A112:B112"/>
    <mergeCell ref="D112:F112"/>
    <mergeCell ref="A113:B113"/>
    <mergeCell ref="D113:F113"/>
    <mergeCell ref="A108:B108"/>
    <mergeCell ref="D108:F108"/>
    <mergeCell ref="A109:B109"/>
    <mergeCell ref="D109:F109"/>
    <mergeCell ref="A110:B110"/>
    <mergeCell ref="D110:F110"/>
    <mergeCell ref="A99:K99"/>
    <mergeCell ref="A100:B100"/>
    <mergeCell ref="D100:F100"/>
    <mergeCell ref="A101:B101"/>
    <mergeCell ref="D101:F101"/>
    <mergeCell ref="A102:B102"/>
    <mergeCell ref="D102:F102"/>
    <mergeCell ref="A103:B103"/>
    <mergeCell ref="D103:F103"/>
    <mergeCell ref="A104:B104"/>
    <mergeCell ref="D104:F104"/>
    <mergeCell ref="A105:B105"/>
    <mergeCell ref="D105:F105"/>
    <mergeCell ref="A106:B106"/>
    <mergeCell ref="D106:F106"/>
    <mergeCell ref="A107:B107"/>
    <mergeCell ref="D107:F107"/>
    <mergeCell ref="B93:C93"/>
    <mergeCell ref="B94:C94"/>
    <mergeCell ref="A95:C95"/>
    <mergeCell ref="A96:K96"/>
    <mergeCell ref="A97:K97"/>
    <mergeCell ref="A98:K98"/>
    <mergeCell ref="B87:C87"/>
    <mergeCell ref="B88:C88"/>
    <mergeCell ref="B89:C89"/>
    <mergeCell ref="B90:C90"/>
    <mergeCell ref="B91:C91"/>
    <mergeCell ref="B92:C92"/>
    <mergeCell ref="A71:C71"/>
    <mergeCell ref="A72:C72"/>
    <mergeCell ref="B78:C78"/>
    <mergeCell ref="A83:K83"/>
    <mergeCell ref="A84:C86"/>
    <mergeCell ref="D84:K84"/>
    <mergeCell ref="K85:K86"/>
    <mergeCell ref="A65:C65"/>
    <mergeCell ref="A66:C66"/>
    <mergeCell ref="B67:C67"/>
    <mergeCell ref="B68:C68"/>
    <mergeCell ref="B69:C69"/>
    <mergeCell ref="B70:C70"/>
    <mergeCell ref="D58:K58"/>
    <mergeCell ref="K59:K60"/>
    <mergeCell ref="B61:C61"/>
    <mergeCell ref="B62:C62"/>
    <mergeCell ref="B63:C63"/>
    <mergeCell ref="B64:C64"/>
    <mergeCell ref="B53:C53"/>
    <mergeCell ref="B54:C54"/>
    <mergeCell ref="B55:C55"/>
    <mergeCell ref="A56:C56"/>
    <mergeCell ref="A57:C57"/>
    <mergeCell ref="A58:C60"/>
    <mergeCell ref="B47:C47"/>
    <mergeCell ref="B48:C48"/>
    <mergeCell ref="B49:C49"/>
    <mergeCell ref="A50:C50"/>
    <mergeCell ref="A51:C51"/>
    <mergeCell ref="B52:C52"/>
    <mergeCell ref="A41:C41"/>
    <mergeCell ref="A42:C42"/>
    <mergeCell ref="A43:C45"/>
    <mergeCell ref="D43:K43"/>
    <mergeCell ref="K44:K45"/>
    <mergeCell ref="B46:C46"/>
    <mergeCell ref="A35:C35"/>
    <mergeCell ref="A36:C36"/>
    <mergeCell ref="B37:C37"/>
    <mergeCell ref="B38:C38"/>
    <mergeCell ref="B39:C39"/>
    <mergeCell ref="B40:C40"/>
    <mergeCell ref="D28:K28"/>
    <mergeCell ref="K29:K30"/>
    <mergeCell ref="B31:C31"/>
    <mergeCell ref="B32:C32"/>
    <mergeCell ref="B33:C33"/>
    <mergeCell ref="B34:C34"/>
    <mergeCell ref="B23:C23"/>
    <mergeCell ref="B24:C24"/>
    <mergeCell ref="B25:C25"/>
    <mergeCell ref="A26:C26"/>
    <mergeCell ref="A27:C27"/>
    <mergeCell ref="A28:C30"/>
    <mergeCell ref="B17:C17"/>
    <mergeCell ref="B18:C18"/>
    <mergeCell ref="B19:C19"/>
    <mergeCell ref="A20:C20"/>
    <mergeCell ref="A21:C21"/>
    <mergeCell ref="B22:C22"/>
    <mergeCell ref="A10:K10"/>
    <mergeCell ref="A11:K11"/>
    <mergeCell ref="A13:C15"/>
    <mergeCell ref="D13:K13"/>
    <mergeCell ref="K14:K15"/>
    <mergeCell ref="B16:C16"/>
    <mergeCell ref="A8:B8"/>
    <mergeCell ref="C8:F8"/>
    <mergeCell ref="G8:H8"/>
    <mergeCell ref="I8:K8"/>
    <mergeCell ref="A9:B9"/>
    <mergeCell ref="C9:F9"/>
    <mergeCell ref="G9:H9"/>
    <mergeCell ref="I9:K9"/>
    <mergeCell ref="A1:B4"/>
    <mergeCell ref="C1:I4"/>
    <mergeCell ref="A5:K5"/>
    <mergeCell ref="A6:B6"/>
    <mergeCell ref="C6:K6"/>
    <mergeCell ref="A7:B7"/>
    <mergeCell ref="C7:K7"/>
  </mergeCells>
  <dataValidations count="1">
    <dataValidation type="list" allowBlank="1" showInputMessage="1" showErrorMessage="1" sqref="C101:C118" xr:uid="{9E0AF379-4FE3-4CBC-AB92-EEB87D58B635}">
      <formula1>$N$101:$N$104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AU115"/>
  <sheetViews>
    <sheetView view="pageBreakPreview" topLeftCell="A34" zoomScale="78" zoomScaleNormal="100" zoomScaleSheetLayoutView="78" workbookViewId="0">
      <selection activeCell="L44" sqref="L44"/>
    </sheetView>
  </sheetViews>
  <sheetFormatPr baseColWidth="10" defaultColWidth="9.140625" defaultRowHeight="12.75" x14ac:dyDescent="0.2"/>
  <cols>
    <col min="1" max="1" width="3.42578125" customWidth="1"/>
    <col min="2" max="3" width="22.42578125" customWidth="1"/>
    <col min="4" max="8" width="14.7109375" customWidth="1"/>
    <col min="9" max="9" width="20.28515625" customWidth="1"/>
    <col min="13" max="13" width="21.7109375" customWidth="1"/>
  </cols>
  <sheetData>
    <row r="1" spans="1:47" ht="18" customHeight="1" x14ac:dyDescent="0.2">
      <c r="A1" s="164"/>
      <c r="B1" s="165"/>
      <c r="C1" s="174" t="s">
        <v>92</v>
      </c>
      <c r="D1" s="175"/>
      <c r="E1" s="175"/>
      <c r="F1" s="175"/>
      <c r="G1" s="175"/>
      <c r="H1" s="71" t="s">
        <v>1</v>
      </c>
      <c r="I1" s="17" t="s">
        <v>2</v>
      </c>
    </row>
    <row r="2" spans="1:47" ht="18" customHeight="1" x14ac:dyDescent="0.2">
      <c r="A2" s="166"/>
      <c r="B2" s="167"/>
      <c r="C2" s="176"/>
      <c r="D2" s="177"/>
      <c r="E2" s="177"/>
      <c r="F2" s="177"/>
      <c r="G2" s="177"/>
      <c r="H2" s="71" t="s">
        <v>3</v>
      </c>
      <c r="I2" s="18" t="s">
        <v>168</v>
      </c>
    </row>
    <row r="3" spans="1:47" ht="18" customHeight="1" x14ac:dyDescent="0.2">
      <c r="A3" s="166"/>
      <c r="B3" s="167"/>
      <c r="C3" s="176"/>
      <c r="D3" s="177"/>
      <c r="E3" s="177"/>
      <c r="F3" s="177"/>
      <c r="G3" s="177"/>
      <c r="H3" s="71" t="s">
        <v>4</v>
      </c>
      <c r="I3" s="19">
        <v>46119</v>
      </c>
    </row>
    <row r="4" spans="1:47" ht="18" customHeight="1" x14ac:dyDescent="0.2">
      <c r="A4" s="168"/>
      <c r="B4" s="169"/>
      <c r="C4" s="178"/>
      <c r="D4" s="179"/>
      <c r="E4" s="179"/>
      <c r="F4" s="179"/>
      <c r="G4" s="179"/>
      <c r="H4" s="71" t="s">
        <v>5</v>
      </c>
      <c r="I4" s="18" t="s">
        <v>193</v>
      </c>
    </row>
    <row r="5" spans="1:47" ht="15.95" customHeight="1" x14ac:dyDescent="0.2">
      <c r="A5" s="119" t="s">
        <v>7</v>
      </c>
      <c r="B5" s="119"/>
      <c r="C5" s="131"/>
      <c r="D5" s="131"/>
      <c r="E5" s="131"/>
      <c r="F5" s="131"/>
      <c r="G5" s="131"/>
      <c r="H5" s="131"/>
      <c r="I5" s="131"/>
      <c r="J5" s="131"/>
      <c r="K5" s="131"/>
    </row>
    <row r="6" spans="1:47" ht="15.95" customHeight="1" x14ac:dyDescent="0.2">
      <c r="A6" s="119" t="s">
        <v>8</v>
      </c>
      <c r="B6" s="119"/>
      <c r="C6" s="128"/>
      <c r="D6" s="128"/>
      <c r="E6" s="128"/>
      <c r="F6" s="128"/>
      <c r="G6" s="128"/>
      <c r="H6" s="128"/>
      <c r="I6" s="128"/>
    </row>
    <row r="7" spans="1:47" ht="15.95" customHeight="1" x14ac:dyDescent="0.2">
      <c r="A7" s="119" t="s">
        <v>93</v>
      </c>
      <c r="B7" s="119"/>
      <c r="C7" s="129" t="s">
        <v>192</v>
      </c>
      <c r="D7" s="129"/>
      <c r="E7" s="129"/>
      <c r="F7" s="129"/>
      <c r="G7" s="129"/>
      <c r="H7" s="129"/>
      <c r="I7" s="129"/>
    </row>
    <row r="8" spans="1:47" ht="15.95" customHeight="1" x14ac:dyDescent="0.2">
      <c r="A8" s="120" t="s">
        <v>94</v>
      </c>
      <c r="B8" s="120"/>
      <c r="C8" s="120"/>
      <c r="D8" s="120"/>
      <c r="E8" s="120"/>
      <c r="F8" s="120"/>
      <c r="G8" s="120"/>
      <c r="H8" s="120"/>
      <c r="I8" s="120"/>
      <c r="J8" s="1"/>
    </row>
    <row r="9" spans="1:47" s="4" customFormat="1" ht="8.4499999999999993" customHeight="1" x14ac:dyDescent="0.2">
      <c r="A9" s="121"/>
      <c r="B9" s="122"/>
      <c r="C9" s="122"/>
      <c r="D9" s="122"/>
      <c r="E9" s="122"/>
      <c r="F9" s="122"/>
      <c r="G9" s="122"/>
      <c r="H9" s="122"/>
      <c r="I9" s="12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ht="15.95" customHeight="1" x14ac:dyDescent="0.2">
      <c r="A10" s="138"/>
      <c r="B10" s="138"/>
      <c r="C10" s="138"/>
      <c r="D10" s="130" t="s">
        <v>95</v>
      </c>
      <c r="E10" s="130" t="s">
        <v>96</v>
      </c>
      <c r="F10" s="130" t="s">
        <v>97</v>
      </c>
      <c r="G10" s="130" t="s">
        <v>98</v>
      </c>
      <c r="H10" s="130" t="s">
        <v>167</v>
      </c>
      <c r="I10" s="172" t="s">
        <v>99</v>
      </c>
    </row>
    <row r="11" spans="1:47" s="8" customFormat="1" ht="15.95" customHeight="1" x14ac:dyDescent="0.2">
      <c r="A11" s="22" t="s">
        <v>100</v>
      </c>
      <c r="B11" s="173" t="s">
        <v>101</v>
      </c>
      <c r="C11" s="173"/>
      <c r="D11" s="130"/>
      <c r="E11" s="130"/>
      <c r="F11" s="130"/>
      <c r="G11" s="130"/>
      <c r="H11" s="130"/>
      <c r="I11" s="172"/>
    </row>
    <row r="12" spans="1:47" s="25" customFormat="1" ht="18" customHeight="1" x14ac:dyDescent="0.2">
      <c r="A12" s="135" t="s">
        <v>102</v>
      </c>
      <c r="B12" s="136"/>
      <c r="C12" s="136"/>
      <c r="D12" s="136"/>
      <c r="E12" s="136"/>
      <c r="F12" s="136"/>
      <c r="G12" s="136"/>
      <c r="H12" s="136"/>
      <c r="I12" s="137"/>
    </row>
    <row r="13" spans="1:47" s="6" customFormat="1" ht="15.95" customHeight="1" x14ac:dyDescent="0.2">
      <c r="A13" s="123" t="s">
        <v>27</v>
      </c>
      <c r="B13" s="123"/>
      <c r="C13" s="123"/>
      <c r="D13" s="33">
        <f>'SEMANA 01'!K65</f>
        <v>0</v>
      </c>
      <c r="E13" s="33">
        <f>'SEMANA 02'!K65</f>
        <v>0</v>
      </c>
      <c r="F13" s="33">
        <f>'SEMANA 03'!K65</f>
        <v>0</v>
      </c>
      <c r="G13" s="33">
        <f>'SEMANA 04'!K65</f>
        <v>0</v>
      </c>
      <c r="H13" s="33">
        <f>'SEMANA 05'!K65</f>
        <v>0</v>
      </c>
      <c r="I13" s="34">
        <f>MAX(D13:H13)</f>
        <v>0</v>
      </c>
      <c r="M13" s="58"/>
    </row>
    <row r="14" spans="1:47" s="6" customFormat="1" ht="15.95" customHeight="1" x14ac:dyDescent="0.2">
      <c r="A14" s="123" t="s">
        <v>33</v>
      </c>
      <c r="B14" s="123"/>
      <c r="C14" s="123"/>
      <c r="D14" s="33">
        <f>'SEMANA 01'!K71</f>
        <v>0</v>
      </c>
      <c r="E14" s="33">
        <f>'SEMANA 02'!K71</f>
        <v>0</v>
      </c>
      <c r="F14" s="33">
        <f>'SEMANA 03'!K71</f>
        <v>0</v>
      </c>
      <c r="G14" s="33">
        <f>'SEMANA 04'!K71</f>
        <v>0</v>
      </c>
      <c r="H14" s="33">
        <f>'SEMANA 05'!K71</f>
        <v>0</v>
      </c>
      <c r="I14" s="34">
        <f>SUM(D14:H14)</f>
        <v>0</v>
      </c>
      <c r="J14" s="7"/>
      <c r="M14" s="58"/>
    </row>
    <row r="15" spans="1:47" s="6" customFormat="1" ht="15.95" customHeight="1" x14ac:dyDescent="0.2">
      <c r="A15" s="123" t="s">
        <v>28</v>
      </c>
      <c r="B15" s="123"/>
      <c r="C15" s="123"/>
      <c r="D15" s="33">
        <f>'SEMANA 01'!K66</f>
        <v>0</v>
      </c>
      <c r="E15" s="33">
        <f>'SEMANA 02'!K66</f>
        <v>0</v>
      </c>
      <c r="F15" s="33">
        <f>'SEMANA 03'!K66</f>
        <v>0</v>
      </c>
      <c r="G15" s="33">
        <f>'SEMANA 04'!K66</f>
        <v>0</v>
      </c>
      <c r="H15" s="33">
        <f>'SEMANA 05'!K66</f>
        <v>0</v>
      </c>
      <c r="I15" s="34">
        <f>MAX(D15:H15)</f>
        <v>0</v>
      </c>
      <c r="M15" s="58"/>
    </row>
    <row r="16" spans="1:47" s="6" customFormat="1" ht="15.95" customHeight="1" x14ac:dyDescent="0.2">
      <c r="A16" s="123" t="s">
        <v>34</v>
      </c>
      <c r="B16" s="123"/>
      <c r="C16" s="123"/>
      <c r="D16" s="33">
        <f>'SEMANA 01'!K72</f>
        <v>0</v>
      </c>
      <c r="E16" s="33">
        <f>'SEMANA 02'!K72</f>
        <v>0</v>
      </c>
      <c r="F16" s="33">
        <f>'SEMANA 03'!K72</f>
        <v>0</v>
      </c>
      <c r="G16" s="33">
        <f>'SEMANA 04'!K72</f>
        <v>0</v>
      </c>
      <c r="H16" s="33">
        <f>'SEMANA 05'!K72</f>
        <v>0</v>
      </c>
      <c r="I16" s="34">
        <f>SUM(D16:H16)</f>
        <v>0</v>
      </c>
      <c r="J16" s="7"/>
      <c r="M16" s="58"/>
    </row>
    <row r="17" spans="1:13" s="25" customFormat="1" ht="18" customHeight="1" x14ac:dyDescent="0.2">
      <c r="A17" s="127" t="s">
        <v>46</v>
      </c>
      <c r="B17" s="127"/>
      <c r="C17" s="127"/>
      <c r="D17" s="127"/>
      <c r="E17" s="127"/>
      <c r="F17" s="127"/>
      <c r="G17" s="127"/>
      <c r="H17" s="127"/>
      <c r="I17" s="127"/>
      <c r="J17" s="32"/>
      <c r="M17" s="58"/>
    </row>
    <row r="18" spans="1:13" ht="15.95" customHeight="1" x14ac:dyDescent="0.2">
      <c r="A18" s="123" t="s">
        <v>103</v>
      </c>
      <c r="B18" s="123"/>
      <c r="C18" s="123"/>
      <c r="D18" s="33">
        <f>'SEMANA 01'!K134</f>
        <v>0</v>
      </c>
      <c r="E18" s="33">
        <f>'SEMANA 02'!K134</f>
        <v>0</v>
      </c>
      <c r="F18" s="33">
        <f>'SEMANA 03'!K134</f>
        <v>0</v>
      </c>
      <c r="G18" s="33">
        <f>'SEMANA 04'!K134</f>
        <v>0</v>
      </c>
      <c r="H18" s="33">
        <f>'SEMANA 05'!K134</f>
        <v>0</v>
      </c>
      <c r="I18" s="34">
        <f>SUM(D18:H18)</f>
        <v>0</v>
      </c>
      <c r="M18" s="58"/>
    </row>
    <row r="19" spans="1:13" ht="15.95" customHeight="1" x14ac:dyDescent="0.2">
      <c r="A19" s="123" t="s">
        <v>104</v>
      </c>
      <c r="B19" s="123"/>
      <c r="C19" s="123"/>
      <c r="D19" s="33">
        <f>'SEMANA 01'!K135</f>
        <v>0</v>
      </c>
      <c r="E19" s="33">
        <f>'SEMANA 02'!K135</f>
        <v>0</v>
      </c>
      <c r="F19" s="33">
        <f>'SEMANA 03'!K135</f>
        <v>0</v>
      </c>
      <c r="G19" s="33">
        <f>'SEMANA 04'!K135</f>
        <v>0</v>
      </c>
      <c r="H19" s="33">
        <f>'SEMANA 05'!K135</f>
        <v>0</v>
      </c>
      <c r="I19" s="34">
        <f>SUM(D19:H19)</f>
        <v>0</v>
      </c>
    </row>
    <row r="20" spans="1:13" ht="15.95" customHeight="1" x14ac:dyDescent="0.2">
      <c r="A20" s="123" t="s">
        <v>105</v>
      </c>
      <c r="B20" s="123"/>
      <c r="C20" s="123"/>
      <c r="D20" s="33">
        <f>'SEMANA 01'!K136</f>
        <v>0</v>
      </c>
      <c r="E20" s="33">
        <f>'SEMANA 02'!K136</f>
        <v>0</v>
      </c>
      <c r="F20" s="33">
        <f>'SEMANA 03'!K136</f>
        <v>0</v>
      </c>
      <c r="G20" s="33">
        <f>'SEMANA 04'!K136</f>
        <v>0</v>
      </c>
      <c r="H20" s="33">
        <f>'SEMANA 05'!K136</f>
        <v>0</v>
      </c>
      <c r="I20" s="34">
        <f>SUM(D20:H20)</f>
        <v>0</v>
      </c>
    </row>
    <row r="21" spans="1:13" ht="15.95" customHeight="1" x14ac:dyDescent="0.2">
      <c r="A21" s="124" t="s">
        <v>106</v>
      </c>
      <c r="B21" s="125"/>
      <c r="C21" s="125"/>
      <c r="D21" s="125"/>
      <c r="E21" s="125"/>
      <c r="F21" s="125"/>
      <c r="G21" s="125"/>
      <c r="H21" s="126"/>
      <c r="I21" s="39">
        <f>SUM(I18:I20)</f>
        <v>0</v>
      </c>
    </row>
    <row r="22" spans="1:13" ht="18" customHeight="1" x14ac:dyDescent="0.2">
      <c r="A22" s="127" t="s">
        <v>107</v>
      </c>
      <c r="B22" s="127"/>
      <c r="C22" s="127"/>
      <c r="D22" s="127"/>
      <c r="E22" s="127"/>
      <c r="F22" s="127"/>
      <c r="G22" s="127"/>
      <c r="H22" s="127"/>
      <c r="I22" s="127"/>
    </row>
    <row r="23" spans="1:13" s="6" customFormat="1" ht="15.95" customHeight="1" x14ac:dyDescent="0.2">
      <c r="A23" s="123" t="s">
        <v>108</v>
      </c>
      <c r="B23" s="123"/>
      <c r="C23" s="123"/>
      <c r="D23" s="33">
        <f>'SEMANA 01'!K140</f>
        <v>0</v>
      </c>
      <c r="E23" s="33">
        <f>'SEMANA 02'!K140</f>
        <v>0</v>
      </c>
      <c r="F23" s="33">
        <f>'SEMANA 03'!K140</f>
        <v>0</v>
      </c>
      <c r="G23" s="33">
        <f>'SEMANA 04'!K140</f>
        <v>0</v>
      </c>
      <c r="H23" s="33">
        <f>'SEMANA 05'!K140</f>
        <v>0</v>
      </c>
      <c r="I23" s="34">
        <f>SUM(D23:H23)</f>
        <v>0</v>
      </c>
      <c r="J23" s="7"/>
    </row>
    <row r="24" spans="1:13" s="25" customFormat="1" ht="18" customHeight="1" x14ac:dyDescent="0.2">
      <c r="A24" s="127" t="s">
        <v>54</v>
      </c>
      <c r="B24" s="127"/>
      <c r="C24" s="127"/>
      <c r="D24" s="127"/>
      <c r="E24" s="127"/>
      <c r="F24" s="127"/>
      <c r="G24" s="127"/>
      <c r="H24" s="127"/>
      <c r="I24" s="127"/>
    </row>
    <row r="25" spans="1:13" ht="15.95" customHeight="1" x14ac:dyDescent="0.2">
      <c r="A25" s="123" t="s">
        <v>57</v>
      </c>
      <c r="B25" s="123"/>
      <c r="C25" s="123"/>
      <c r="D25" s="38">
        <f>'SEMANA 01'!K144</f>
        <v>0</v>
      </c>
      <c r="E25" s="38">
        <f>'SEMANA 02'!K144</f>
        <v>0</v>
      </c>
      <c r="F25" s="38">
        <f>'SEMANA 03'!K144</f>
        <v>0</v>
      </c>
      <c r="G25" s="38">
        <f>'SEMANA 04'!K144</f>
        <v>0</v>
      </c>
      <c r="H25" s="38">
        <f>'SEMANA 05'!K144</f>
        <v>0</v>
      </c>
      <c r="I25" s="36">
        <f>SUM(D25:H25)</f>
        <v>0</v>
      </c>
    </row>
    <row r="26" spans="1:13" ht="15.95" customHeight="1" x14ac:dyDescent="0.2">
      <c r="A26" s="123" t="s">
        <v>109</v>
      </c>
      <c r="B26" s="123"/>
      <c r="C26" s="123"/>
      <c r="D26" s="38">
        <f>'SEMANA 01'!K145</f>
        <v>0</v>
      </c>
      <c r="E26" s="38">
        <f>'SEMANA 02'!K145</f>
        <v>0</v>
      </c>
      <c r="F26" s="38">
        <f>'SEMANA 03'!K145</f>
        <v>0</v>
      </c>
      <c r="G26" s="38">
        <f>'SEMANA 04'!K145</f>
        <v>0</v>
      </c>
      <c r="H26" s="38">
        <f>'SEMANA 05'!K145</f>
        <v>0</v>
      </c>
      <c r="I26" s="36">
        <f>SUM(D26:H26)</f>
        <v>0</v>
      </c>
    </row>
    <row r="27" spans="1:13" s="2" customFormat="1" ht="18" customHeight="1" x14ac:dyDescent="0.2">
      <c r="A27" s="127" t="s">
        <v>58</v>
      </c>
      <c r="B27" s="127"/>
      <c r="C27" s="127"/>
      <c r="D27" s="127"/>
      <c r="E27" s="127"/>
      <c r="F27" s="127"/>
      <c r="G27" s="127"/>
      <c r="H27" s="127"/>
      <c r="I27" s="127"/>
    </row>
    <row r="28" spans="1:13" s="6" customFormat="1" ht="15.95" customHeight="1" x14ac:dyDescent="0.2">
      <c r="A28" s="123" t="s">
        <v>63</v>
      </c>
      <c r="B28" s="123"/>
      <c r="C28" s="123"/>
      <c r="D28" s="33">
        <f>'SEMANA 01'!K158</f>
        <v>0</v>
      </c>
      <c r="E28" s="33">
        <f>'SEMANA 02'!K158</f>
        <v>0</v>
      </c>
      <c r="F28" s="33">
        <f>'SEMANA 03'!K158</f>
        <v>0</v>
      </c>
      <c r="G28" s="33">
        <f>'SEMANA 04'!K158</f>
        <v>0</v>
      </c>
      <c r="H28" s="33">
        <f>'SEMANA 05'!K158</f>
        <v>0</v>
      </c>
      <c r="I28" s="34">
        <f>SUM(D28:H28)</f>
        <v>0</v>
      </c>
      <c r="J28" s="7"/>
    </row>
    <row r="29" spans="1:13" s="6" customFormat="1" ht="15.95" customHeight="1" x14ac:dyDescent="0.2">
      <c r="A29" s="123" t="s">
        <v>64</v>
      </c>
      <c r="B29" s="123"/>
      <c r="C29" s="123"/>
      <c r="D29" s="33">
        <f>'SEMANA 01'!K159</f>
        <v>0</v>
      </c>
      <c r="E29" s="33">
        <f>'SEMANA 02'!K159</f>
        <v>0</v>
      </c>
      <c r="F29" s="33">
        <f>'SEMANA 03'!K159</f>
        <v>0</v>
      </c>
      <c r="G29" s="33">
        <f>'SEMANA 04'!K159</f>
        <v>0</v>
      </c>
      <c r="H29" s="33">
        <f>'SEMANA 05'!K159</f>
        <v>0</v>
      </c>
      <c r="I29" s="34">
        <f>SUM(D29:H29)</f>
        <v>0</v>
      </c>
      <c r="J29" s="7"/>
    </row>
    <row r="30" spans="1:13" ht="18" customHeight="1" x14ac:dyDescent="0.2">
      <c r="A30" s="127" t="s">
        <v>65</v>
      </c>
      <c r="B30" s="127"/>
      <c r="C30" s="127"/>
      <c r="D30" s="127"/>
      <c r="E30" s="127"/>
      <c r="F30" s="127"/>
      <c r="G30" s="127"/>
      <c r="H30" s="127"/>
      <c r="I30" s="127"/>
    </row>
    <row r="31" spans="1:13" ht="15" customHeight="1" x14ac:dyDescent="0.2">
      <c r="A31" s="9">
        <v>1</v>
      </c>
      <c r="B31" s="141" t="s">
        <v>66</v>
      </c>
      <c r="C31" s="141"/>
      <c r="D31" s="31">
        <f>'SEMANA 01'!K171</f>
        <v>0</v>
      </c>
      <c r="E31" s="31">
        <f>'SEMANA 02'!K171</f>
        <v>0</v>
      </c>
      <c r="F31" s="31">
        <f>'SEMANA 03'!K171</f>
        <v>0</v>
      </c>
      <c r="G31" s="31">
        <f>'SEMANA 04'!K171</f>
        <v>0</v>
      </c>
      <c r="H31" s="31">
        <f>'SEMANA 05'!K171</f>
        <v>0</v>
      </c>
      <c r="I31" s="36">
        <f>SUM(D31:H31)</f>
        <v>0</v>
      </c>
    </row>
    <row r="32" spans="1:13" ht="15" customHeight="1" x14ac:dyDescent="0.2">
      <c r="A32" s="9">
        <v>2</v>
      </c>
      <c r="B32" s="141" t="s">
        <v>110</v>
      </c>
      <c r="C32" s="141"/>
      <c r="D32" s="31">
        <f>'SEMANA 01'!K172</f>
        <v>0</v>
      </c>
      <c r="E32" s="31">
        <f>'SEMANA 02'!K172</f>
        <v>0</v>
      </c>
      <c r="F32" s="31">
        <f>'SEMANA 03'!K172</f>
        <v>0</v>
      </c>
      <c r="G32" s="31">
        <f>'SEMANA 04'!K172</f>
        <v>0</v>
      </c>
      <c r="H32" s="31">
        <f>'SEMANA 05'!K172</f>
        <v>0</v>
      </c>
      <c r="I32" s="36">
        <f t="shared" ref="I32:I38" si="0">SUM(D32:H32)</f>
        <v>0</v>
      </c>
    </row>
    <row r="33" spans="1:9" ht="15" customHeight="1" x14ac:dyDescent="0.2">
      <c r="A33" s="9">
        <v>3</v>
      </c>
      <c r="B33" s="118" t="s">
        <v>111</v>
      </c>
      <c r="C33" s="118"/>
      <c r="D33" s="31">
        <f>'SEMANA 01'!K173</f>
        <v>0</v>
      </c>
      <c r="E33" s="31">
        <f>'SEMANA 02'!K173</f>
        <v>0</v>
      </c>
      <c r="F33" s="31">
        <f>'SEMANA 03'!K173</f>
        <v>0</v>
      </c>
      <c r="G33" s="31">
        <f>'SEMANA 04'!K173</f>
        <v>0</v>
      </c>
      <c r="H33" s="31">
        <f>'SEMANA 05'!K173</f>
        <v>0</v>
      </c>
      <c r="I33" s="36">
        <f t="shared" si="0"/>
        <v>0</v>
      </c>
    </row>
    <row r="34" spans="1:9" ht="15" customHeight="1" x14ac:dyDescent="0.2">
      <c r="A34" s="9">
        <v>4</v>
      </c>
      <c r="B34" s="118" t="s">
        <v>111</v>
      </c>
      <c r="C34" s="118"/>
      <c r="D34" s="31">
        <f>'SEMANA 01'!K174</f>
        <v>0</v>
      </c>
      <c r="E34" s="31">
        <f>'SEMANA 02'!K174</f>
        <v>0</v>
      </c>
      <c r="F34" s="31">
        <f>'SEMANA 03'!K174</f>
        <v>0</v>
      </c>
      <c r="G34" s="31">
        <f>'SEMANA 04'!K174</f>
        <v>0</v>
      </c>
      <c r="H34" s="31">
        <f>'SEMANA 05'!K174</f>
        <v>0</v>
      </c>
      <c r="I34" s="36">
        <f t="shared" si="0"/>
        <v>0</v>
      </c>
    </row>
    <row r="35" spans="1:9" ht="15" customHeight="1" x14ac:dyDescent="0.2">
      <c r="A35" s="9">
        <v>5</v>
      </c>
      <c r="B35" s="118" t="s">
        <v>112</v>
      </c>
      <c r="C35" s="118"/>
      <c r="D35" s="31">
        <f>'SEMANA 01'!K175</f>
        <v>0</v>
      </c>
      <c r="E35" s="31">
        <f>'SEMANA 02'!K175</f>
        <v>0</v>
      </c>
      <c r="F35" s="31">
        <f>'SEMANA 03'!K175</f>
        <v>0</v>
      </c>
      <c r="G35" s="31">
        <f>'SEMANA 04'!K175</f>
        <v>0</v>
      </c>
      <c r="H35" s="31">
        <f>'SEMANA 05'!K175</f>
        <v>0</v>
      </c>
      <c r="I35" s="36">
        <f t="shared" si="0"/>
        <v>0</v>
      </c>
    </row>
    <row r="36" spans="1:9" ht="15" customHeight="1" x14ac:dyDescent="0.2">
      <c r="A36" s="9">
        <v>6</v>
      </c>
      <c r="B36" s="118" t="s">
        <v>112</v>
      </c>
      <c r="C36" s="118"/>
      <c r="D36" s="31">
        <f>'SEMANA 01'!K176</f>
        <v>0</v>
      </c>
      <c r="E36" s="31">
        <f>'SEMANA 02'!K176</f>
        <v>0</v>
      </c>
      <c r="F36" s="31">
        <f>'SEMANA 03'!K176</f>
        <v>0</v>
      </c>
      <c r="G36" s="31">
        <f>'SEMANA 04'!K176</f>
        <v>0</v>
      </c>
      <c r="H36" s="31">
        <f>'SEMANA 05'!K176</f>
        <v>0</v>
      </c>
      <c r="I36" s="36">
        <f t="shared" si="0"/>
        <v>0</v>
      </c>
    </row>
    <row r="37" spans="1:9" ht="15" customHeight="1" x14ac:dyDescent="0.2">
      <c r="A37" s="9">
        <v>7</v>
      </c>
      <c r="B37" s="118" t="s">
        <v>113</v>
      </c>
      <c r="C37" s="118"/>
      <c r="D37" s="31">
        <f>'SEMANA 01'!K177</f>
        <v>0</v>
      </c>
      <c r="E37" s="31">
        <f>'SEMANA 02'!K177</f>
        <v>0</v>
      </c>
      <c r="F37" s="31">
        <f>'SEMANA 03'!K177</f>
        <v>0</v>
      </c>
      <c r="G37" s="31">
        <f>'SEMANA 04'!K177</f>
        <v>0</v>
      </c>
      <c r="H37" s="31">
        <f>'SEMANA 05'!K177</f>
        <v>0</v>
      </c>
      <c r="I37" s="36">
        <f t="shared" si="0"/>
        <v>0</v>
      </c>
    </row>
    <row r="38" spans="1:9" ht="15" customHeight="1" x14ac:dyDescent="0.2">
      <c r="A38" s="9">
        <v>8</v>
      </c>
      <c r="B38" s="118" t="s">
        <v>113</v>
      </c>
      <c r="C38" s="118"/>
      <c r="D38" s="31">
        <f>'SEMANA 01'!K178</f>
        <v>0</v>
      </c>
      <c r="E38" s="31">
        <f>'SEMANA 02'!K178</f>
        <v>0</v>
      </c>
      <c r="F38" s="31">
        <f>'SEMANA 03'!K178</f>
        <v>0</v>
      </c>
      <c r="G38" s="31">
        <f>'SEMANA 04'!K178</f>
        <v>0</v>
      </c>
      <c r="H38" s="31">
        <f>'SEMANA 05'!K178</f>
        <v>0</v>
      </c>
      <c r="I38" s="36">
        <f t="shared" si="0"/>
        <v>0</v>
      </c>
    </row>
    <row r="39" spans="1:9" ht="15" customHeight="1" x14ac:dyDescent="0.2">
      <c r="A39" s="9">
        <v>9</v>
      </c>
      <c r="B39" s="118"/>
      <c r="C39" s="118"/>
      <c r="D39" s="31">
        <f>+'SEMANA 01'!K182</f>
        <v>0</v>
      </c>
      <c r="E39" s="31">
        <f>'SEMANA 02'!K179</f>
        <v>0</v>
      </c>
      <c r="F39" s="31">
        <f>'SEMANA 03'!K179</f>
        <v>0</v>
      </c>
      <c r="G39" s="31">
        <f>'SEMANA 04'!K179</f>
        <v>0</v>
      </c>
      <c r="H39" s="31">
        <f>'SEMANA 05'!K179</f>
        <v>0</v>
      </c>
      <c r="I39" s="36">
        <f t="shared" ref="I39:I41" si="1">SUM(D39:H39)</f>
        <v>0</v>
      </c>
    </row>
    <row r="40" spans="1:9" ht="15" customHeight="1" x14ac:dyDescent="0.2">
      <c r="A40" s="9">
        <v>10</v>
      </c>
      <c r="B40" s="118"/>
      <c r="C40" s="118"/>
      <c r="D40" s="31">
        <f>+'SEMANA 01'!K184</f>
        <v>0</v>
      </c>
      <c r="E40" s="31">
        <f>'SEMANA 02'!K180</f>
        <v>0</v>
      </c>
      <c r="F40" s="31">
        <f>'SEMANA 03'!K180</f>
        <v>0</v>
      </c>
      <c r="G40" s="31">
        <f>'SEMANA 04'!K180</f>
        <v>0</v>
      </c>
      <c r="H40" s="31">
        <f>'SEMANA 05'!K180</f>
        <v>0</v>
      </c>
      <c r="I40" s="36">
        <f t="shared" si="1"/>
        <v>0</v>
      </c>
    </row>
    <row r="41" spans="1:9" ht="15" customHeight="1" x14ac:dyDescent="0.2">
      <c r="A41" s="9">
        <v>11</v>
      </c>
      <c r="B41" s="118"/>
      <c r="C41" s="118"/>
      <c r="D41" s="31">
        <f>+'SEMANA 01'!K185</f>
        <v>0</v>
      </c>
      <c r="E41" s="31">
        <f>'SEMANA 02'!K181</f>
        <v>0</v>
      </c>
      <c r="F41" s="31">
        <f>'SEMANA 03'!K181</f>
        <v>0</v>
      </c>
      <c r="G41" s="31">
        <f>'SEMANA 04'!K181</f>
        <v>0</v>
      </c>
      <c r="H41" s="31">
        <f>'SEMANA 05'!K181</f>
        <v>0</v>
      </c>
      <c r="I41" s="36">
        <f t="shared" si="1"/>
        <v>0</v>
      </c>
    </row>
    <row r="42" spans="1:9" ht="15" customHeight="1" x14ac:dyDescent="0.2">
      <c r="A42" s="9">
        <v>12</v>
      </c>
      <c r="B42" s="118"/>
      <c r="C42" s="118"/>
      <c r="D42" s="31">
        <f>+'SEMANA 01'!K181</f>
        <v>0</v>
      </c>
      <c r="E42" s="31">
        <f>'SEMANA 02'!K182</f>
        <v>0</v>
      </c>
      <c r="F42" s="31">
        <f>'SEMANA 03'!K182</f>
        <v>0</v>
      </c>
      <c r="G42" s="31">
        <f>'SEMANA 04'!K182</f>
        <v>0</v>
      </c>
      <c r="H42" s="31">
        <f>'SEMANA 05'!K182</f>
        <v>0</v>
      </c>
      <c r="I42" s="36">
        <f t="shared" ref="I42" si="2">SUM(D42:H42)</f>
        <v>0</v>
      </c>
    </row>
    <row r="43" spans="1:9" s="6" customFormat="1" ht="18" customHeight="1" x14ac:dyDescent="0.2">
      <c r="A43" s="120" t="s">
        <v>114</v>
      </c>
      <c r="B43" s="120"/>
      <c r="C43" s="120"/>
      <c r="D43" s="15">
        <f t="shared" ref="D43:G43" si="3">SUM(D31:D42)</f>
        <v>0</v>
      </c>
      <c r="E43" s="15">
        <f t="shared" si="3"/>
        <v>0</v>
      </c>
      <c r="F43" s="15">
        <f t="shared" si="3"/>
        <v>0</v>
      </c>
      <c r="G43" s="15">
        <f t="shared" si="3"/>
        <v>0</v>
      </c>
      <c r="H43" s="15">
        <f>SUM(H31:H42)</f>
        <v>0</v>
      </c>
      <c r="I43" s="39">
        <f>SUM(D43:H43)</f>
        <v>0</v>
      </c>
    </row>
    <row r="44" spans="1:9" ht="18" customHeight="1" x14ac:dyDescent="0.2">
      <c r="A44" s="120" t="s">
        <v>76</v>
      </c>
      <c r="B44" s="120"/>
      <c r="C44" s="120"/>
      <c r="D44" s="120"/>
      <c r="E44" s="120"/>
      <c r="F44" s="120"/>
      <c r="G44" s="120"/>
      <c r="H44" s="120"/>
      <c r="I44" s="120"/>
    </row>
    <row r="45" spans="1:9" ht="18" customHeight="1" x14ac:dyDescent="0.2">
      <c r="A45" s="120" t="s">
        <v>80</v>
      </c>
      <c r="B45" s="120"/>
      <c r="C45" s="120"/>
      <c r="D45" s="17">
        <f>'SEMANA 01'!K191</f>
        <v>0</v>
      </c>
      <c r="E45" s="117">
        <f>'SEMANA 02'!K191</f>
        <v>0</v>
      </c>
      <c r="F45" s="117">
        <f>'SEMANA 03'!K191</f>
        <v>0</v>
      </c>
      <c r="G45" s="117">
        <f>'SEMANA 04'!K191</f>
        <v>0</v>
      </c>
      <c r="H45" s="117">
        <f>'SEMANA 05'!K191</f>
        <v>0</v>
      </c>
      <c r="I45" s="35">
        <f>SUM(D45:H45)</f>
        <v>0</v>
      </c>
    </row>
    <row r="46" spans="1:9" ht="18" customHeight="1" x14ac:dyDescent="0.2">
      <c r="A46" s="120" t="s">
        <v>115</v>
      </c>
      <c r="B46" s="120"/>
      <c r="C46" s="120"/>
      <c r="D46" s="120"/>
      <c r="E46" s="120"/>
      <c r="F46" s="120"/>
      <c r="G46" s="120"/>
      <c r="H46" s="120"/>
      <c r="I46" s="120"/>
    </row>
    <row r="47" spans="1:9" x14ac:dyDescent="0.2">
      <c r="A47" s="161" t="s">
        <v>116</v>
      </c>
      <c r="B47" s="162"/>
      <c r="C47" s="163"/>
      <c r="D47" s="33">
        <f>'SEMANA 01'!J119</f>
        <v>0</v>
      </c>
      <c r="E47" s="33">
        <f>'SEMANA 02'!J119</f>
        <v>0</v>
      </c>
      <c r="F47" s="33">
        <f>'SEMANA 03'!J119</f>
        <v>0</v>
      </c>
      <c r="G47" s="33">
        <f>'SEMANA 04'!J119</f>
        <v>0</v>
      </c>
      <c r="H47" s="33">
        <f>'SEMANA 05'!J119</f>
        <v>0</v>
      </c>
      <c r="I47" s="37">
        <f>SUM(D47:H47)</f>
        <v>0</v>
      </c>
    </row>
    <row r="48" spans="1:9" x14ac:dyDescent="0.2">
      <c r="A48" s="161" t="s">
        <v>117</v>
      </c>
      <c r="B48" s="162"/>
      <c r="C48" s="163"/>
      <c r="D48" s="33">
        <f>'SEMANA 01'!K119</f>
        <v>0</v>
      </c>
      <c r="E48" s="33">
        <f>'SEMANA 02'!K119</f>
        <v>0</v>
      </c>
      <c r="F48" s="33">
        <f>'SEMANA 03'!K119</f>
        <v>0</v>
      </c>
      <c r="G48" s="33">
        <f>'SEMANA 04'!K119</f>
        <v>0</v>
      </c>
      <c r="H48" s="33">
        <f>'SEMANA 05'!K119</f>
        <v>0</v>
      </c>
      <c r="I48" s="37">
        <f>SUM(D48:H48)</f>
        <v>0</v>
      </c>
    </row>
    <row r="49" spans="1:9" x14ac:dyDescent="0.2">
      <c r="A49" s="161" t="s">
        <v>204</v>
      </c>
      <c r="B49" s="162"/>
      <c r="C49" s="163"/>
      <c r="D49" s="33">
        <f>SUM(D47:D48)</f>
        <v>0</v>
      </c>
      <c r="E49" s="33">
        <f t="shared" ref="E49:H49" si="4">SUM(E47:E48)</f>
        <v>0</v>
      </c>
      <c r="F49" s="33">
        <f t="shared" si="4"/>
        <v>0</v>
      </c>
      <c r="G49" s="33">
        <f>SUM(G47:G48)</f>
        <v>0</v>
      </c>
      <c r="H49" s="33">
        <f t="shared" si="4"/>
        <v>0</v>
      </c>
      <c r="I49" s="37">
        <f>SUM(D49:H49)</f>
        <v>0</v>
      </c>
    </row>
    <row r="50" spans="1:9" ht="18" customHeight="1" x14ac:dyDescent="0.2">
      <c r="A50" s="120" t="s">
        <v>201</v>
      </c>
      <c r="B50" s="120"/>
      <c r="C50" s="120"/>
      <c r="D50" s="120"/>
      <c r="E50" s="120"/>
      <c r="F50" s="120"/>
      <c r="G50" s="120"/>
      <c r="H50" s="120"/>
      <c r="I50" s="120"/>
    </row>
    <row r="51" spans="1:9" x14ac:dyDescent="0.2">
      <c r="A51" s="161" t="s">
        <v>118</v>
      </c>
      <c r="B51" s="162"/>
      <c r="C51" s="163"/>
      <c r="D51" s="33">
        <f>'SEMANA 01'!D123</f>
        <v>0</v>
      </c>
      <c r="E51" s="33">
        <f>'SEMANA 02'!D123</f>
        <v>0</v>
      </c>
      <c r="F51" s="33">
        <f>'SEMANA 03'!D123</f>
        <v>0</v>
      </c>
      <c r="G51" s="33">
        <f>'SEMANA 04'!D123</f>
        <v>0</v>
      </c>
      <c r="H51" s="33">
        <f>'SEMANA 05'!D123</f>
        <v>0</v>
      </c>
      <c r="I51" s="37">
        <f>SUM(D51:H51)</f>
        <v>0</v>
      </c>
    </row>
    <row r="52" spans="1:9" ht="13.5" customHeight="1" x14ac:dyDescent="0.2">
      <c r="A52" s="161" t="s">
        <v>202</v>
      </c>
      <c r="B52" s="162"/>
      <c r="C52" s="163"/>
      <c r="D52" s="33">
        <f>'SEMANA 01'!E123</f>
        <v>0</v>
      </c>
      <c r="E52" s="33">
        <f>'SEMANA 02'!E123</f>
        <v>0</v>
      </c>
      <c r="F52" s="33">
        <f>'SEMANA 03'!E123</f>
        <v>0</v>
      </c>
      <c r="G52" s="33">
        <f>'SEMANA 04'!E123</f>
        <v>0</v>
      </c>
      <c r="H52" s="33">
        <f>'SEMANA 05'!E123</f>
        <v>0</v>
      </c>
      <c r="I52" s="37">
        <f>SUM(D52:H52)</f>
        <v>0</v>
      </c>
    </row>
    <row r="53" spans="1:9" x14ac:dyDescent="0.2">
      <c r="A53" s="161" t="s">
        <v>203</v>
      </c>
      <c r="B53" s="162"/>
      <c r="C53" s="163"/>
      <c r="D53" s="33">
        <f>'SEMANA 01'!F123</f>
        <v>0</v>
      </c>
      <c r="E53" s="33">
        <f>'SEMANA 02'!F123</f>
        <v>0</v>
      </c>
      <c r="F53" s="33">
        <f>'SEMANA 03'!F123</f>
        <v>0</v>
      </c>
      <c r="G53" s="33">
        <f>'SEMANA 04'!F123</f>
        <v>0</v>
      </c>
      <c r="H53" s="33">
        <f>'SEMANA 05'!F123</f>
        <v>0</v>
      </c>
      <c r="I53" s="37">
        <f>SUM(D53:H53)</f>
        <v>0</v>
      </c>
    </row>
    <row r="54" spans="1:9" x14ac:dyDescent="0.2">
      <c r="A54" s="161" t="s">
        <v>181</v>
      </c>
      <c r="B54" s="162"/>
      <c r="C54" s="163"/>
      <c r="D54" s="33">
        <f>'SEMANA 01'!G123</f>
        <v>0</v>
      </c>
      <c r="E54" s="33">
        <f>'SEMANA 02'!G123</f>
        <v>0</v>
      </c>
      <c r="F54" s="33">
        <f>'SEMANA 03'!G123</f>
        <v>0</v>
      </c>
      <c r="G54" s="33">
        <f>'SEMANA 04'!G123</f>
        <v>0</v>
      </c>
      <c r="H54" s="33">
        <f>'SEMANA 05'!G123</f>
        <v>0</v>
      </c>
      <c r="I54" s="37">
        <f>SUM(D54:H54)</f>
        <v>0</v>
      </c>
    </row>
    <row r="55" spans="1:9" ht="15.75" customHeight="1" x14ac:dyDescent="0.2">
      <c r="A55" s="155"/>
      <c r="B55" s="155"/>
      <c r="C55" s="155"/>
      <c r="D55" s="155"/>
      <c r="E55" s="155"/>
      <c r="F55" s="155"/>
      <c r="G55" s="155"/>
      <c r="H55" s="155"/>
      <c r="I55" s="155"/>
    </row>
    <row r="56" spans="1:9" ht="12" customHeight="1" x14ac:dyDescent="0.2">
      <c r="A56" s="120" t="s">
        <v>119</v>
      </c>
      <c r="B56" s="120"/>
      <c r="C56" s="120"/>
      <c r="D56" s="120"/>
      <c r="E56" s="120"/>
      <c r="F56" s="24"/>
      <c r="G56" s="24"/>
      <c r="H56" s="24"/>
      <c r="I56" s="30"/>
    </row>
    <row r="57" spans="1:9" ht="12" customHeight="1" x14ac:dyDescent="0.2">
      <c r="A57" s="142" t="s">
        <v>120</v>
      </c>
      <c r="B57" s="142"/>
      <c r="C57" s="142"/>
      <c r="D57" s="140">
        <f>IFERROR((I19*1000000)/(I14+I16),0)</f>
        <v>0</v>
      </c>
      <c r="E57" s="140"/>
      <c r="F57" s="24"/>
      <c r="G57" s="24"/>
      <c r="H57" s="24"/>
      <c r="I57" s="30"/>
    </row>
    <row r="58" spans="1:9" ht="12" customHeight="1" x14ac:dyDescent="0.2">
      <c r="A58" s="142" t="s">
        <v>121</v>
      </c>
      <c r="B58" s="142"/>
      <c r="C58" s="142"/>
      <c r="D58" s="140">
        <f>IFERROR((I23*1000000)/(I14+I16),0)</f>
        <v>0</v>
      </c>
      <c r="E58" s="140"/>
      <c r="F58" s="24"/>
      <c r="G58" s="24"/>
      <c r="H58" s="24"/>
      <c r="I58" s="30"/>
    </row>
    <row r="59" spans="1:9" ht="12" customHeight="1" x14ac:dyDescent="0.2">
      <c r="A59" s="142" t="s">
        <v>122</v>
      </c>
      <c r="B59" s="142"/>
      <c r="C59" s="142"/>
      <c r="D59" s="140">
        <f>(D57*D58)/1000</f>
        <v>0</v>
      </c>
      <c r="E59" s="140"/>
      <c r="F59" s="24"/>
      <c r="G59" s="24"/>
      <c r="H59" s="24"/>
      <c r="I59" s="30"/>
    </row>
    <row r="60" spans="1:9" ht="12" customHeight="1" x14ac:dyDescent="0.2">
      <c r="A60" s="142" t="s">
        <v>123</v>
      </c>
      <c r="B60" s="142"/>
      <c r="C60" s="142"/>
      <c r="D60" s="139">
        <f>IFERROR((I49*100)/(I14+I16),0)</f>
        <v>0</v>
      </c>
      <c r="E60" s="140"/>
      <c r="F60" s="24"/>
      <c r="G60" s="24"/>
      <c r="H60" s="24"/>
      <c r="I60" s="30"/>
    </row>
    <row r="61" spans="1:9" ht="10.9" customHeight="1" x14ac:dyDescent="0.2">
      <c r="A61" s="14"/>
      <c r="B61" s="23"/>
      <c r="C61" s="23"/>
      <c r="D61" s="24"/>
      <c r="E61" s="24"/>
      <c r="F61" s="24"/>
      <c r="G61" s="24"/>
      <c r="H61" s="24"/>
      <c r="I61" s="30"/>
    </row>
    <row r="62" spans="1:9" ht="12" customHeight="1" x14ac:dyDescent="0.2">
      <c r="A62" s="143" t="s">
        <v>124</v>
      </c>
      <c r="B62" s="143"/>
      <c r="C62" s="143" t="s">
        <v>125</v>
      </c>
      <c r="D62" s="143"/>
      <c r="E62" s="143"/>
      <c r="F62" s="143"/>
      <c r="G62" s="143"/>
      <c r="H62" s="143"/>
      <c r="I62" s="143"/>
    </row>
    <row r="63" spans="1:9" ht="14.1" customHeight="1" x14ac:dyDescent="0.2">
      <c r="A63" s="144">
        <v>1</v>
      </c>
      <c r="B63" s="144"/>
      <c r="C63" s="170"/>
      <c r="D63" s="171"/>
      <c r="E63" s="171"/>
      <c r="F63" s="171"/>
      <c r="G63" s="171"/>
      <c r="H63" s="171"/>
      <c r="I63" s="171"/>
    </row>
    <row r="64" spans="1:9" ht="14.1" customHeight="1" x14ac:dyDescent="0.2">
      <c r="A64" s="144">
        <v>2</v>
      </c>
      <c r="B64" s="144">
        <v>2</v>
      </c>
      <c r="C64" s="170"/>
      <c r="D64" s="171"/>
      <c r="E64" s="171"/>
      <c r="F64" s="171"/>
      <c r="G64" s="171"/>
      <c r="H64" s="171"/>
      <c r="I64" s="171"/>
    </row>
    <row r="65" spans="1:13" ht="14.1" customHeight="1" x14ac:dyDescent="0.2">
      <c r="A65" s="144">
        <v>3</v>
      </c>
      <c r="B65" s="144"/>
      <c r="C65" s="170"/>
      <c r="D65" s="171"/>
      <c r="E65" s="171"/>
      <c r="F65" s="171"/>
      <c r="G65" s="171"/>
      <c r="H65" s="171"/>
      <c r="I65" s="171"/>
    </row>
    <row r="66" spans="1:13" ht="14.1" customHeight="1" x14ac:dyDescent="0.2">
      <c r="A66" s="144">
        <v>4</v>
      </c>
      <c r="B66" s="144"/>
      <c r="C66" s="170"/>
      <c r="D66" s="171"/>
      <c r="E66" s="171"/>
      <c r="F66" s="171"/>
      <c r="G66" s="171"/>
      <c r="H66" s="171"/>
      <c r="I66" s="171"/>
    </row>
    <row r="67" spans="1:13" ht="14.1" customHeight="1" x14ac:dyDescent="0.2">
      <c r="A67" s="144">
        <v>5</v>
      </c>
      <c r="B67" s="144">
        <v>2</v>
      </c>
      <c r="C67" s="170"/>
      <c r="D67" s="171"/>
      <c r="E67" s="171"/>
      <c r="F67" s="171"/>
      <c r="G67" s="171"/>
      <c r="H67" s="171"/>
      <c r="I67" s="171"/>
    </row>
    <row r="68" spans="1:13" ht="14.1" customHeight="1" x14ac:dyDescent="0.2">
      <c r="A68" s="144">
        <v>6</v>
      </c>
      <c r="B68" s="144"/>
      <c r="C68" s="170"/>
      <c r="D68" s="171"/>
      <c r="E68" s="171"/>
      <c r="F68" s="171"/>
      <c r="G68" s="171"/>
      <c r="H68" s="171"/>
      <c r="I68" s="171"/>
    </row>
    <row r="69" spans="1:13" ht="14.1" customHeight="1" x14ac:dyDescent="0.2">
      <c r="A69" s="144">
        <v>7</v>
      </c>
      <c r="B69" s="144"/>
      <c r="C69" s="170"/>
      <c r="D69" s="171"/>
      <c r="E69" s="171"/>
      <c r="F69" s="171"/>
      <c r="G69" s="171"/>
      <c r="H69" s="171"/>
      <c r="I69" s="171"/>
    </row>
    <row r="70" spans="1:13" ht="14.1" customHeight="1" x14ac:dyDescent="0.2">
      <c r="A70" s="144">
        <v>8</v>
      </c>
      <c r="B70" s="144">
        <v>2</v>
      </c>
      <c r="C70" s="170"/>
      <c r="D70" s="171"/>
      <c r="E70" s="171"/>
      <c r="F70" s="171"/>
      <c r="G70" s="171"/>
      <c r="H70" s="171"/>
      <c r="I70" s="171"/>
    </row>
    <row r="71" spans="1:13" ht="14.1" customHeight="1" x14ac:dyDescent="0.2">
      <c r="A71" s="144">
        <v>9</v>
      </c>
      <c r="B71" s="144"/>
      <c r="C71" s="170"/>
      <c r="D71" s="171"/>
      <c r="E71" s="171"/>
      <c r="F71" s="171"/>
      <c r="G71" s="171"/>
      <c r="H71" s="171"/>
      <c r="I71" s="171"/>
    </row>
    <row r="72" spans="1:13" ht="14.1" customHeight="1" x14ac:dyDescent="0.2">
      <c r="A72" s="183">
        <v>10</v>
      </c>
      <c r="B72" s="183"/>
      <c r="C72" s="170"/>
      <c r="D72" s="171"/>
      <c r="E72" s="171"/>
      <c r="F72" s="171"/>
      <c r="G72" s="171"/>
      <c r="H72" s="171"/>
      <c r="I72" s="171"/>
    </row>
    <row r="73" spans="1:13" ht="18.75" customHeight="1" x14ac:dyDescent="0.2">
      <c r="A73" s="181" t="s">
        <v>126</v>
      </c>
      <c r="B73" s="181"/>
      <c r="C73" s="181"/>
      <c r="D73" s="181"/>
      <c r="E73" s="181"/>
      <c r="F73" s="181"/>
      <c r="G73" s="181"/>
      <c r="H73" s="181"/>
      <c r="I73" s="181"/>
    </row>
    <row r="74" spans="1:13" ht="27.6" customHeight="1" x14ac:dyDescent="0.2">
      <c r="A74" s="157" t="s">
        <v>41</v>
      </c>
      <c r="B74" s="157"/>
      <c r="C74" s="51" t="s">
        <v>42</v>
      </c>
      <c r="D74" s="52" t="s">
        <v>43</v>
      </c>
      <c r="E74" s="158" t="s">
        <v>127</v>
      </c>
      <c r="F74" s="158"/>
      <c r="G74" s="158"/>
      <c r="H74" s="158"/>
      <c r="I74" s="52" t="s">
        <v>45</v>
      </c>
      <c r="L74" s="44"/>
      <c r="M74" s="44"/>
    </row>
    <row r="75" spans="1:13" ht="24.95" customHeight="1" x14ac:dyDescent="0.2">
      <c r="A75" s="171"/>
      <c r="B75" s="171"/>
      <c r="C75" s="54"/>
      <c r="D75" s="55"/>
      <c r="E75" s="145"/>
      <c r="F75" s="145"/>
      <c r="G75" s="145"/>
      <c r="H75" s="145"/>
      <c r="I75" s="55"/>
      <c r="J75" s="49"/>
      <c r="K75" s="50"/>
      <c r="L75" s="46"/>
      <c r="M75" s="45"/>
    </row>
    <row r="76" spans="1:13" ht="24.95" customHeight="1" x14ac:dyDescent="0.2">
      <c r="A76" s="171"/>
      <c r="B76" s="171"/>
      <c r="C76" s="54"/>
      <c r="D76" s="55"/>
      <c r="E76" s="145"/>
      <c r="F76" s="145"/>
      <c r="G76" s="145"/>
      <c r="H76" s="145"/>
      <c r="I76" s="55"/>
      <c r="J76" s="49"/>
      <c r="K76" s="50"/>
      <c r="L76" s="46"/>
      <c r="M76" s="45"/>
    </row>
    <row r="77" spans="1:13" ht="24.95" customHeight="1" x14ac:dyDescent="0.2">
      <c r="A77" s="171"/>
      <c r="B77" s="171"/>
      <c r="C77" s="54"/>
      <c r="D77" s="55"/>
      <c r="E77" s="145"/>
      <c r="F77" s="145"/>
      <c r="G77" s="145"/>
      <c r="H77" s="145"/>
      <c r="I77" s="55"/>
      <c r="J77" s="49"/>
      <c r="K77" s="50"/>
      <c r="L77" s="46"/>
      <c r="M77" s="45"/>
    </row>
    <row r="78" spans="1:13" ht="24.95" customHeight="1" x14ac:dyDescent="0.2">
      <c r="A78" s="171"/>
      <c r="B78" s="171"/>
      <c r="C78" s="53"/>
      <c r="D78" s="55"/>
      <c r="E78" s="145"/>
      <c r="F78" s="145"/>
      <c r="G78" s="145"/>
      <c r="H78" s="145"/>
      <c r="I78" s="55"/>
      <c r="J78" s="49"/>
      <c r="K78" s="50"/>
      <c r="L78" s="46"/>
      <c r="M78" s="45"/>
    </row>
    <row r="79" spans="1:13" ht="8.25" customHeight="1" x14ac:dyDescent="0.2">
      <c r="A79" s="155"/>
      <c r="B79" s="155"/>
      <c r="C79" s="155"/>
      <c r="D79" s="155"/>
      <c r="E79" s="155"/>
      <c r="F79" s="155"/>
      <c r="G79" s="155"/>
      <c r="H79" s="155"/>
      <c r="I79" s="155"/>
    </row>
    <row r="80" spans="1:13" ht="12" customHeight="1" x14ac:dyDescent="0.2">
      <c r="A80" s="181" t="s">
        <v>128</v>
      </c>
      <c r="B80" s="181"/>
      <c r="C80" s="181"/>
      <c r="D80" s="181"/>
      <c r="E80" s="181"/>
      <c r="F80" s="181"/>
      <c r="G80" s="181"/>
      <c r="H80" s="181"/>
      <c r="I80" s="181"/>
    </row>
    <row r="81" spans="1:13" ht="15" customHeight="1" x14ac:dyDescent="0.2">
      <c r="A81" s="180" t="s">
        <v>129</v>
      </c>
      <c r="B81" s="180"/>
      <c r="C81" s="180"/>
      <c r="D81" s="180"/>
      <c r="E81" s="180"/>
      <c r="F81" s="180"/>
      <c r="G81" s="156"/>
      <c r="H81" s="156"/>
      <c r="I81" s="156"/>
    </row>
    <row r="82" spans="1:13" ht="15" customHeight="1" x14ac:dyDescent="0.2">
      <c r="A82" s="180" t="s">
        <v>130</v>
      </c>
      <c r="B82" s="180"/>
      <c r="C82" s="180"/>
      <c r="D82" s="180"/>
      <c r="E82" s="180"/>
      <c r="F82" s="180"/>
      <c r="G82" s="182"/>
      <c r="H82" s="156"/>
      <c r="I82" s="156"/>
    </row>
    <row r="83" spans="1:13" ht="15" customHeight="1" x14ac:dyDescent="0.2">
      <c r="A83" s="180" t="s">
        <v>131</v>
      </c>
      <c r="B83" s="180"/>
      <c r="C83" s="180"/>
      <c r="D83" s="180"/>
      <c r="E83" s="180"/>
      <c r="F83" s="180"/>
      <c r="G83" s="156"/>
      <c r="H83" s="156"/>
      <c r="I83" s="156"/>
    </row>
    <row r="84" spans="1:13" ht="15" customHeight="1" x14ac:dyDescent="0.2">
      <c r="A84" s="180" t="s">
        <v>132</v>
      </c>
      <c r="B84" s="180"/>
      <c r="C84" s="180"/>
      <c r="D84" s="180"/>
      <c r="E84" s="180"/>
      <c r="F84" s="180"/>
      <c r="G84" s="156"/>
      <c r="H84" s="156"/>
      <c r="I84" s="156"/>
    </row>
    <row r="85" spans="1:13" ht="15" customHeight="1" x14ac:dyDescent="0.2">
      <c r="A85" s="180" t="s">
        <v>133</v>
      </c>
      <c r="B85" s="180"/>
      <c r="C85" s="180"/>
      <c r="D85" s="180"/>
      <c r="E85" s="180"/>
      <c r="F85" s="180"/>
      <c r="G85" s="156"/>
      <c r="H85" s="156"/>
      <c r="I85" s="156"/>
    </row>
    <row r="86" spans="1:13" ht="15" customHeight="1" x14ac:dyDescent="0.2">
      <c r="A86" s="180" t="s">
        <v>134</v>
      </c>
      <c r="B86" s="180"/>
      <c r="C86" s="180"/>
      <c r="D86" s="180"/>
      <c r="E86" s="180"/>
      <c r="F86" s="180"/>
      <c r="G86" s="156"/>
      <c r="H86" s="156"/>
      <c r="I86" s="156"/>
    </row>
    <row r="87" spans="1:13" ht="15" customHeight="1" x14ac:dyDescent="0.2">
      <c r="A87" s="180" t="s">
        <v>135</v>
      </c>
      <c r="B87" s="180"/>
      <c r="C87" s="180"/>
      <c r="D87" s="180"/>
      <c r="E87" s="180"/>
      <c r="F87" s="180"/>
      <c r="G87" s="156"/>
      <c r="H87" s="156"/>
      <c r="I87" s="156"/>
    </row>
    <row r="88" spans="1:13" ht="10.9" customHeight="1" x14ac:dyDescent="0.2">
      <c r="A88" s="14"/>
      <c r="B88" s="23"/>
      <c r="C88" s="23"/>
      <c r="D88" s="24"/>
      <c r="E88" s="24"/>
      <c r="F88" s="24"/>
      <c r="G88" s="24"/>
      <c r="H88" s="24"/>
      <c r="I88" s="30"/>
    </row>
    <row r="89" spans="1:13" ht="12.95" customHeight="1" x14ac:dyDescent="0.2">
      <c r="A89" s="181" t="s">
        <v>136</v>
      </c>
      <c r="B89" s="181"/>
      <c r="C89" s="181"/>
      <c r="D89" s="181"/>
      <c r="E89" s="181"/>
      <c r="F89" s="181"/>
      <c r="G89" s="181"/>
      <c r="H89" s="181"/>
      <c r="I89" s="181"/>
    </row>
    <row r="90" spans="1:13" ht="27.6" customHeight="1" x14ac:dyDescent="0.2">
      <c r="A90" s="157" t="s">
        <v>137</v>
      </c>
      <c r="B90" s="157"/>
      <c r="C90" s="157" t="s">
        <v>138</v>
      </c>
      <c r="D90" s="157"/>
      <c r="E90" s="157"/>
      <c r="F90" s="158" t="s">
        <v>139</v>
      </c>
      <c r="G90" s="158"/>
      <c r="H90" s="158" t="s">
        <v>140</v>
      </c>
      <c r="I90" s="158"/>
      <c r="L90" s="44"/>
      <c r="M90" s="44"/>
    </row>
    <row r="91" spans="1:13" x14ac:dyDescent="0.2">
      <c r="A91" s="170"/>
      <c r="B91" s="171"/>
      <c r="C91" s="159"/>
      <c r="D91" s="159"/>
      <c r="E91" s="159"/>
      <c r="F91" s="160"/>
      <c r="G91" s="160"/>
      <c r="H91" s="160"/>
      <c r="I91" s="160"/>
      <c r="J91" s="49"/>
      <c r="K91" s="50"/>
      <c r="L91" s="46"/>
      <c r="M91" s="45"/>
    </row>
    <row r="92" spans="1:13" x14ac:dyDescent="0.2">
      <c r="A92" s="170"/>
      <c r="B92" s="171"/>
      <c r="C92" s="159"/>
      <c r="D92" s="159"/>
      <c r="E92" s="159"/>
      <c r="F92" s="160"/>
      <c r="G92" s="160"/>
      <c r="H92" s="160"/>
      <c r="I92" s="160"/>
      <c r="J92" s="49"/>
      <c r="K92" s="50"/>
      <c r="L92" s="46"/>
      <c r="M92" s="45"/>
    </row>
    <row r="93" spans="1:13" x14ac:dyDescent="0.2">
      <c r="A93" s="170"/>
      <c r="B93" s="171"/>
      <c r="C93" s="159"/>
      <c r="D93" s="159"/>
      <c r="E93" s="159"/>
      <c r="F93" s="160"/>
      <c r="G93" s="160"/>
      <c r="H93" s="160"/>
      <c r="I93" s="160"/>
      <c r="J93" s="49"/>
      <c r="K93" s="50"/>
      <c r="L93" s="46"/>
      <c r="M93" s="45"/>
    </row>
    <row r="94" spans="1:13" x14ac:dyDescent="0.2">
      <c r="A94" s="170"/>
      <c r="B94" s="171"/>
      <c r="C94" s="159"/>
      <c r="D94" s="159"/>
      <c r="E94" s="159"/>
      <c r="F94" s="160"/>
      <c r="G94" s="160"/>
      <c r="H94" s="160"/>
      <c r="I94" s="160"/>
      <c r="J94" s="49"/>
      <c r="K94" s="50"/>
      <c r="L94" s="46"/>
      <c r="M94" s="45"/>
    </row>
    <row r="95" spans="1:13" x14ac:dyDescent="0.2">
      <c r="A95" s="170"/>
      <c r="B95" s="171"/>
      <c r="C95" s="159"/>
      <c r="D95" s="159"/>
      <c r="E95" s="159"/>
      <c r="F95" s="160"/>
      <c r="G95" s="160"/>
      <c r="H95" s="160"/>
      <c r="I95" s="160"/>
      <c r="J95" s="49"/>
      <c r="K95" s="50"/>
      <c r="L95" s="46"/>
      <c r="M95" s="45"/>
    </row>
    <row r="96" spans="1:13" x14ac:dyDescent="0.2">
      <c r="A96" s="170"/>
      <c r="B96" s="171"/>
      <c r="C96" s="159"/>
      <c r="D96" s="159"/>
      <c r="E96" s="159"/>
      <c r="F96" s="160"/>
      <c r="G96" s="160"/>
      <c r="H96" s="160"/>
      <c r="I96" s="160"/>
      <c r="J96" s="49"/>
      <c r="K96" s="50"/>
      <c r="L96" s="46"/>
      <c r="M96" s="45"/>
    </row>
    <row r="97" spans="1:13" ht="12.95" customHeight="1" x14ac:dyDescent="0.2">
      <c r="A97" s="181" t="s">
        <v>141</v>
      </c>
      <c r="B97" s="181"/>
      <c r="C97" s="181"/>
      <c r="D97" s="181"/>
      <c r="E97" s="181"/>
      <c r="F97" s="181"/>
      <c r="G97" s="181"/>
      <c r="H97" s="181"/>
      <c r="I97" s="181"/>
    </row>
    <row r="98" spans="1:13" ht="27.6" customHeight="1" x14ac:dyDescent="0.2">
      <c r="A98" s="157" t="s">
        <v>137</v>
      </c>
      <c r="B98" s="157"/>
      <c r="C98" s="157" t="s">
        <v>138</v>
      </c>
      <c r="D98" s="157"/>
      <c r="E98" s="157"/>
      <c r="F98" s="158" t="s">
        <v>139</v>
      </c>
      <c r="G98" s="158"/>
      <c r="H98" s="158" t="s">
        <v>140</v>
      </c>
      <c r="I98" s="158"/>
      <c r="L98" s="44"/>
      <c r="M98" s="44"/>
    </row>
    <row r="99" spans="1:13" x14ac:dyDescent="0.2">
      <c r="A99" s="171"/>
      <c r="B99" s="171"/>
      <c r="C99" s="159"/>
      <c r="D99" s="159"/>
      <c r="E99" s="159"/>
      <c r="F99" s="160"/>
      <c r="G99" s="160"/>
      <c r="H99" s="160"/>
      <c r="I99" s="160"/>
      <c r="J99" s="49"/>
      <c r="K99" s="50"/>
      <c r="L99" s="46"/>
      <c r="M99" s="45"/>
    </row>
    <row r="100" spans="1:13" x14ac:dyDescent="0.2">
      <c r="A100" s="170"/>
      <c r="B100" s="171"/>
      <c r="C100" s="159"/>
      <c r="D100" s="159"/>
      <c r="E100" s="159"/>
      <c r="F100" s="160"/>
      <c r="G100" s="160"/>
      <c r="H100" s="160"/>
      <c r="I100" s="160"/>
      <c r="J100" s="49"/>
      <c r="K100" s="50"/>
      <c r="L100" s="46"/>
      <c r="M100" s="45"/>
    </row>
    <row r="101" spans="1:13" x14ac:dyDescent="0.2">
      <c r="A101" s="170"/>
      <c r="B101" s="171"/>
      <c r="C101" s="159"/>
      <c r="D101" s="159"/>
      <c r="E101" s="159"/>
      <c r="F101" s="160"/>
      <c r="G101" s="160"/>
      <c r="H101" s="160"/>
      <c r="I101" s="160"/>
      <c r="J101" s="49"/>
      <c r="K101" s="50"/>
      <c r="L101" s="46"/>
      <c r="M101" s="45"/>
    </row>
    <row r="102" spans="1:13" x14ac:dyDescent="0.2">
      <c r="A102" s="170"/>
      <c r="B102" s="171"/>
      <c r="C102" s="159"/>
      <c r="D102" s="159"/>
      <c r="E102" s="159"/>
      <c r="F102" s="160"/>
      <c r="G102" s="160"/>
      <c r="H102" s="160"/>
      <c r="I102" s="160"/>
      <c r="J102" s="49"/>
      <c r="K102" s="50"/>
      <c r="L102" s="46"/>
      <c r="M102" s="45"/>
    </row>
    <row r="103" spans="1:13" x14ac:dyDescent="0.2">
      <c r="A103" s="170"/>
      <c r="B103" s="171"/>
      <c r="C103" s="159"/>
      <c r="D103" s="159"/>
      <c r="E103" s="159"/>
      <c r="F103" s="160"/>
      <c r="G103" s="160"/>
      <c r="H103" s="160"/>
      <c r="I103" s="160"/>
      <c r="J103" s="49"/>
      <c r="K103" s="50"/>
      <c r="L103" s="46"/>
      <c r="M103" s="45"/>
    </row>
    <row r="104" spans="1:13" x14ac:dyDescent="0.2">
      <c r="A104" s="171"/>
      <c r="B104" s="171"/>
      <c r="C104" s="159"/>
      <c r="D104" s="159"/>
      <c r="E104" s="159"/>
      <c r="F104" s="160"/>
      <c r="G104" s="160"/>
      <c r="H104" s="160"/>
      <c r="I104" s="160"/>
      <c r="J104" s="49"/>
      <c r="K104" s="50"/>
      <c r="L104" s="46"/>
      <c r="M104" s="45"/>
    </row>
    <row r="105" spans="1:13" s="40" customFormat="1" ht="15" customHeight="1" x14ac:dyDescent="0.2">
      <c r="A105" s="69"/>
      <c r="B105" s="41"/>
      <c r="C105" s="41"/>
      <c r="D105" s="42"/>
      <c r="E105" s="42"/>
      <c r="F105" s="42"/>
      <c r="G105" s="67"/>
      <c r="H105" s="67"/>
      <c r="I105" s="67"/>
    </row>
    <row r="106" spans="1:13" ht="6.75" customHeight="1" x14ac:dyDescent="0.2">
      <c r="A106" s="68"/>
      <c r="B106" s="68"/>
      <c r="C106" s="153"/>
      <c r="D106" s="153"/>
      <c r="E106" s="153"/>
      <c r="F106" s="153"/>
      <c r="G106" s="153"/>
      <c r="H106" s="153"/>
      <c r="I106" s="68"/>
    </row>
    <row r="107" spans="1:13" ht="12" customHeight="1" x14ac:dyDescent="0.2">
      <c r="A107" s="68"/>
      <c r="B107" s="146"/>
      <c r="C107" s="147"/>
      <c r="D107" s="68"/>
      <c r="E107" s="68"/>
      <c r="F107" s="146"/>
      <c r="G107" s="152"/>
      <c r="H107" s="147"/>
      <c r="I107" s="68"/>
    </row>
    <row r="108" spans="1:13" ht="12" customHeight="1" x14ac:dyDescent="0.2">
      <c r="A108" s="68"/>
      <c r="B108" s="148"/>
      <c r="C108" s="149"/>
      <c r="D108" s="68"/>
      <c r="E108" s="68"/>
      <c r="F108" s="148"/>
      <c r="G108" s="153"/>
      <c r="H108" s="149"/>
      <c r="I108" s="68"/>
    </row>
    <row r="109" spans="1:13" ht="12" customHeight="1" x14ac:dyDescent="0.2">
      <c r="A109" s="68"/>
      <c r="B109" s="148"/>
      <c r="C109" s="149"/>
      <c r="D109" s="68"/>
      <c r="E109" s="68"/>
      <c r="F109" s="148"/>
      <c r="G109" s="153"/>
      <c r="H109" s="149"/>
      <c r="I109" s="68"/>
    </row>
    <row r="110" spans="1:13" ht="12" customHeight="1" x14ac:dyDescent="0.2">
      <c r="A110" s="68"/>
      <c r="B110" s="148"/>
      <c r="C110" s="149"/>
      <c r="D110" s="68"/>
      <c r="E110" s="68"/>
      <c r="F110" s="148"/>
      <c r="G110" s="153"/>
      <c r="H110" s="149"/>
      <c r="I110" s="68"/>
    </row>
    <row r="111" spans="1:13" ht="12" customHeight="1" x14ac:dyDescent="0.2">
      <c r="A111" s="68"/>
      <c r="B111" s="148"/>
      <c r="C111" s="149"/>
      <c r="D111" s="68"/>
      <c r="E111" s="68"/>
      <c r="F111" s="148"/>
      <c r="G111" s="153"/>
      <c r="H111" s="149"/>
      <c r="I111" s="68"/>
    </row>
    <row r="112" spans="1:13" ht="12" customHeight="1" x14ac:dyDescent="0.2">
      <c r="A112" s="68"/>
      <c r="B112" s="150"/>
      <c r="C112" s="151"/>
      <c r="D112" s="68"/>
      <c r="E112" s="68"/>
      <c r="F112" s="150"/>
      <c r="G112" s="154"/>
      <c r="H112" s="151"/>
      <c r="I112" s="68"/>
    </row>
    <row r="113" spans="1:9" ht="12" customHeight="1" x14ac:dyDescent="0.2">
      <c r="A113" s="68"/>
      <c r="B113" s="132" t="s">
        <v>142</v>
      </c>
      <c r="C113" s="133"/>
      <c r="D113" s="68"/>
      <c r="E113" s="68"/>
      <c r="F113" s="132" t="s">
        <v>91</v>
      </c>
      <c r="G113" s="134"/>
      <c r="H113" s="133"/>
      <c r="I113" s="68"/>
    </row>
    <row r="114" spans="1:9" ht="12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" customHeight="1" x14ac:dyDescent="0.2"/>
  </sheetData>
  <mergeCells count="183"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102:B102"/>
    <mergeCell ref="C102:E102"/>
    <mergeCell ref="F102:G102"/>
    <mergeCell ref="H102:I102"/>
    <mergeCell ref="A103:B103"/>
    <mergeCell ref="A104:B104"/>
    <mergeCell ref="A83:F83"/>
    <mergeCell ref="A84:F84"/>
    <mergeCell ref="A89:I89"/>
    <mergeCell ref="A90:B90"/>
    <mergeCell ref="A91:B91"/>
    <mergeCell ref="A95:B95"/>
    <mergeCell ref="A96:B96"/>
    <mergeCell ref="A97:I97"/>
    <mergeCell ref="C103:E103"/>
    <mergeCell ref="F103:G103"/>
    <mergeCell ref="H103:I103"/>
    <mergeCell ref="C104:E104"/>
    <mergeCell ref="F104:G104"/>
    <mergeCell ref="H104:I104"/>
    <mergeCell ref="C99:E99"/>
    <mergeCell ref="F99:G99"/>
    <mergeCell ref="H99:I99"/>
    <mergeCell ref="A92:B92"/>
    <mergeCell ref="C92:E92"/>
    <mergeCell ref="F92:G92"/>
    <mergeCell ref="H92:I92"/>
    <mergeCell ref="A93:B93"/>
    <mergeCell ref="A68:B68"/>
    <mergeCell ref="A71:B71"/>
    <mergeCell ref="A73:I73"/>
    <mergeCell ref="A74:B74"/>
    <mergeCell ref="A75:B75"/>
    <mergeCell ref="A76:B76"/>
    <mergeCell ref="A77:B77"/>
    <mergeCell ref="A78:B78"/>
    <mergeCell ref="E74:H74"/>
    <mergeCell ref="E75:H75"/>
    <mergeCell ref="E76:H76"/>
    <mergeCell ref="E77:H77"/>
    <mergeCell ref="A69:B69"/>
    <mergeCell ref="A70:B70"/>
    <mergeCell ref="A72:B72"/>
    <mergeCell ref="C69:I69"/>
    <mergeCell ref="C70:I70"/>
    <mergeCell ref="C72:I72"/>
    <mergeCell ref="A81:F81"/>
    <mergeCell ref="A87:F87"/>
    <mergeCell ref="A86:F86"/>
    <mergeCell ref="A85:F85"/>
    <mergeCell ref="A82:F82"/>
    <mergeCell ref="A80:I80"/>
    <mergeCell ref="A98:B98"/>
    <mergeCell ref="A99:B99"/>
    <mergeCell ref="H95:I95"/>
    <mergeCell ref="H96:I96"/>
    <mergeCell ref="C98:E98"/>
    <mergeCell ref="F98:G98"/>
    <mergeCell ref="H98:I98"/>
    <mergeCell ref="G81:I81"/>
    <mergeCell ref="G82:I82"/>
    <mergeCell ref="G83:I83"/>
    <mergeCell ref="G84:I84"/>
    <mergeCell ref="C93:E93"/>
    <mergeCell ref="F93:G93"/>
    <mergeCell ref="H93:I93"/>
    <mergeCell ref="A94:B94"/>
    <mergeCell ref="C94:E94"/>
    <mergeCell ref="F94:G94"/>
    <mergeCell ref="H94:I94"/>
    <mergeCell ref="A1:B4"/>
    <mergeCell ref="D58:E58"/>
    <mergeCell ref="C67:I67"/>
    <mergeCell ref="C68:I68"/>
    <mergeCell ref="C71:I71"/>
    <mergeCell ref="C62:I62"/>
    <mergeCell ref="C63:I63"/>
    <mergeCell ref="C64:I64"/>
    <mergeCell ref="C65:I65"/>
    <mergeCell ref="C66:I66"/>
    <mergeCell ref="I10:I11"/>
    <mergeCell ref="B11:C11"/>
    <mergeCell ref="A13:C13"/>
    <mergeCell ref="A14:C14"/>
    <mergeCell ref="A17:I17"/>
    <mergeCell ref="B31:C31"/>
    <mergeCell ref="C1:G4"/>
    <mergeCell ref="A43:C43"/>
    <mergeCell ref="A44:I44"/>
    <mergeCell ref="A15:C15"/>
    <mergeCell ref="A16:C16"/>
    <mergeCell ref="A29:C29"/>
    <mergeCell ref="D57:E57"/>
    <mergeCell ref="A67:B67"/>
    <mergeCell ref="A45:C45"/>
    <mergeCell ref="A46:I46"/>
    <mergeCell ref="A48:C48"/>
    <mergeCell ref="A55:I55"/>
    <mergeCell ref="A47:C47"/>
    <mergeCell ref="A56:E56"/>
    <mergeCell ref="A57:C57"/>
    <mergeCell ref="A58:C58"/>
    <mergeCell ref="A59:C59"/>
    <mergeCell ref="A51:C51"/>
    <mergeCell ref="A52:C52"/>
    <mergeCell ref="A50:I50"/>
    <mergeCell ref="A53:C53"/>
    <mergeCell ref="A54:C54"/>
    <mergeCell ref="A49:C49"/>
    <mergeCell ref="A60:C60"/>
    <mergeCell ref="A62:B62"/>
    <mergeCell ref="A63:B63"/>
    <mergeCell ref="A64:B64"/>
    <mergeCell ref="A65:B65"/>
    <mergeCell ref="A66:B66"/>
    <mergeCell ref="E78:H78"/>
    <mergeCell ref="B107:C112"/>
    <mergeCell ref="F107:H112"/>
    <mergeCell ref="A79:I79"/>
    <mergeCell ref="C106:H106"/>
    <mergeCell ref="G85:I85"/>
    <mergeCell ref="G86:I86"/>
    <mergeCell ref="G87:I87"/>
    <mergeCell ref="C90:E90"/>
    <mergeCell ref="F90:G90"/>
    <mergeCell ref="H90:I90"/>
    <mergeCell ref="C91:E91"/>
    <mergeCell ref="C95:E95"/>
    <mergeCell ref="C96:E96"/>
    <mergeCell ref="F91:G91"/>
    <mergeCell ref="F95:G95"/>
    <mergeCell ref="F96:G96"/>
    <mergeCell ref="H91:I91"/>
    <mergeCell ref="B113:C113"/>
    <mergeCell ref="F113:H113"/>
    <mergeCell ref="A12:I12"/>
    <mergeCell ref="D10:D11"/>
    <mergeCell ref="E10:E11"/>
    <mergeCell ref="F10:F11"/>
    <mergeCell ref="G10:G11"/>
    <mergeCell ref="A27:I27"/>
    <mergeCell ref="A28:C28"/>
    <mergeCell ref="A22:I22"/>
    <mergeCell ref="A18:C18"/>
    <mergeCell ref="A24:I24"/>
    <mergeCell ref="A25:C25"/>
    <mergeCell ref="A19:C19"/>
    <mergeCell ref="A20:C20"/>
    <mergeCell ref="A10:C10"/>
    <mergeCell ref="D60:E60"/>
    <mergeCell ref="B42:C42"/>
    <mergeCell ref="B32:C32"/>
    <mergeCell ref="B34:C34"/>
    <mergeCell ref="B33:C33"/>
    <mergeCell ref="B35:C35"/>
    <mergeCell ref="B36:C36"/>
    <mergeCell ref="D59:E59"/>
    <mergeCell ref="B37:C37"/>
    <mergeCell ref="B38:C38"/>
    <mergeCell ref="B39:C39"/>
    <mergeCell ref="B40:C40"/>
    <mergeCell ref="B41:C41"/>
    <mergeCell ref="A5:B5"/>
    <mergeCell ref="A6:B6"/>
    <mergeCell ref="A8:I8"/>
    <mergeCell ref="A7:B7"/>
    <mergeCell ref="A9:I9"/>
    <mergeCell ref="A26:C26"/>
    <mergeCell ref="A21:H21"/>
    <mergeCell ref="A23:C23"/>
    <mergeCell ref="A30:I30"/>
    <mergeCell ref="C6:I6"/>
    <mergeCell ref="C7:I7"/>
    <mergeCell ref="H10:H11"/>
    <mergeCell ref="C5:K5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1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6:D25"/>
  <sheetViews>
    <sheetView workbookViewId="0">
      <selection activeCell="F17" sqref="F17"/>
    </sheetView>
  </sheetViews>
  <sheetFormatPr baseColWidth="10" defaultColWidth="11.42578125" defaultRowHeight="12.75" x14ac:dyDescent="0.2"/>
  <cols>
    <col min="3" max="3" width="26.7109375" bestFit="1" customWidth="1"/>
    <col min="4" max="4" width="55.140625" bestFit="1" customWidth="1"/>
  </cols>
  <sheetData>
    <row r="16" spans="3:4" x14ac:dyDescent="0.2">
      <c r="C16" s="62" t="s">
        <v>143</v>
      </c>
      <c r="D16" s="63" t="s">
        <v>144</v>
      </c>
    </row>
    <row r="17" spans="3:4" x14ac:dyDescent="0.2">
      <c r="C17" s="64" t="s">
        <v>145</v>
      </c>
      <c r="D17" s="64" t="s">
        <v>146</v>
      </c>
    </row>
    <row r="18" spans="3:4" x14ac:dyDescent="0.2">
      <c r="C18" s="64" t="s">
        <v>147</v>
      </c>
      <c r="D18" s="64" t="s">
        <v>148</v>
      </c>
    </row>
    <row r="19" spans="3:4" x14ac:dyDescent="0.2">
      <c r="C19" s="64" t="s">
        <v>149</v>
      </c>
      <c r="D19" s="64" t="s">
        <v>150</v>
      </c>
    </row>
    <row r="20" spans="3:4" x14ac:dyDescent="0.2">
      <c r="C20" s="64" t="s">
        <v>151</v>
      </c>
      <c r="D20" s="64" t="s">
        <v>152</v>
      </c>
    </row>
    <row r="21" spans="3:4" x14ac:dyDescent="0.2">
      <c r="C21" s="64" t="s">
        <v>153</v>
      </c>
      <c r="D21" s="65" t="s">
        <v>154</v>
      </c>
    </row>
    <row r="22" spans="3:4" x14ac:dyDescent="0.2">
      <c r="C22" s="64" t="s">
        <v>155</v>
      </c>
      <c r="D22" s="64" t="s">
        <v>156</v>
      </c>
    </row>
    <row r="23" spans="3:4" x14ac:dyDescent="0.2">
      <c r="C23" s="64" t="s">
        <v>157</v>
      </c>
      <c r="D23" s="64" t="s">
        <v>158</v>
      </c>
    </row>
    <row r="24" spans="3:4" x14ac:dyDescent="0.2">
      <c r="C24" s="64" t="s">
        <v>159</v>
      </c>
      <c r="D24" s="64" t="s">
        <v>160</v>
      </c>
    </row>
    <row r="25" spans="3:4" ht="25.5" x14ac:dyDescent="0.2">
      <c r="C25" s="64" t="s">
        <v>161</v>
      </c>
      <c r="D25" s="66" t="s">
        <v>162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675f32c-00d6-4fd7-9f20-f8258c41b41b">X24D5PJVF3TP-732153570-1773202</_dlc_DocId>
    <_dlc_DocIdUrl xmlns="d675f32c-00d6-4fd7-9f20-f8258c41b41b">
      <Url>https://ruagsrl.sharepoint.com/sites/RUAG/_layouts/15/DocIdRedir.aspx?ID=X24D5PJVF3TP-732153570-1773202</Url>
      <Description>X24D5PJVF3TP-732153570-1773202</Description>
    </_dlc_DocIdUrl>
    <lcf76f155ced4ddcb4097134ff3c332f xmlns="50120481-a4a8-434e-a2bb-d4175ab338ab">
      <Terms xmlns="http://schemas.microsoft.com/office/infopath/2007/PartnerControls"/>
    </lcf76f155ced4ddcb4097134ff3c332f>
    <TaxCatchAll xmlns="d675f32c-00d6-4fd7-9f20-f8258c41b4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D5E49542F494D980995A53BC900DF" ma:contentTypeVersion="19" ma:contentTypeDescription="Crear nuevo documento." ma:contentTypeScope="" ma:versionID="0c7dd4a54686852ea9e9c7dd2114aefa">
  <xsd:schema xmlns:xsd="http://www.w3.org/2001/XMLSchema" xmlns:xs="http://www.w3.org/2001/XMLSchema" xmlns:p="http://schemas.microsoft.com/office/2006/metadata/properties" xmlns:ns2="d675f32c-00d6-4fd7-9f20-f8258c41b41b" xmlns:ns3="50120481-a4a8-434e-a2bb-d4175ab338ab" targetNamespace="http://schemas.microsoft.com/office/2006/metadata/properties" ma:root="true" ma:fieldsID="2d2c691e5fe91eafaabec10d893d7985" ns2:_="" ns3:_="">
    <xsd:import namespace="d675f32c-00d6-4fd7-9f20-f8258c41b41b"/>
    <xsd:import namespace="50120481-a4a8-434e-a2bb-d4175ab338a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5f32c-00d6-4fd7-9f20-f8258c41b41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a58d592-7d2d-4069-86be-99fb5d62bb9d}" ma:internalName="TaxCatchAll" ma:showField="CatchAllData" ma:web="d675f32c-00d6-4fd7-9f20-f8258c41b4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20481-a4a8-434e-a2bb-d4175ab33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ea42db89-90ad-4442-900e-aa56a832ee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EEBAC-AAA2-46D9-8869-172A19A14F99}">
  <ds:schemaRefs>
    <ds:schemaRef ds:uri="http://schemas.microsoft.com/office/2006/metadata/properties"/>
    <ds:schemaRef ds:uri="http://schemas.microsoft.com/office/infopath/2007/PartnerControls"/>
    <ds:schemaRef ds:uri="d675f32c-00d6-4fd7-9f20-f8258c41b41b"/>
    <ds:schemaRef ds:uri="50120481-a4a8-434e-a2bb-d4175ab338ab"/>
  </ds:schemaRefs>
</ds:datastoreItem>
</file>

<file path=customXml/itemProps2.xml><?xml version="1.0" encoding="utf-8"?>
<ds:datastoreItem xmlns:ds="http://schemas.openxmlformats.org/officeDocument/2006/customXml" ds:itemID="{C7CC85B2-F4CF-40BB-8ED3-8EC94A44C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7A70E-3B80-4394-B692-48C1CAC9A69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3FCE8C6-F35E-4204-8025-5143B3921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5f32c-00d6-4fd7-9f20-f8258c41b41b"/>
    <ds:schemaRef ds:uri="50120481-a4a8-434e-a2bb-d4175ab338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SEMANA 01</vt:lpstr>
      <vt:lpstr>SEMANA 02</vt:lpstr>
      <vt:lpstr>SEMANA 03</vt:lpstr>
      <vt:lpstr>SEMANA 04</vt:lpstr>
      <vt:lpstr>SEMANA 05</vt:lpstr>
      <vt:lpstr> CONS</vt:lpstr>
      <vt:lpstr>Hoja1</vt:lpstr>
      <vt:lpstr>' CONS'!Área_de_impresión</vt:lpstr>
      <vt:lpstr>'SEMANA 01'!Área_de_impresión</vt:lpstr>
      <vt:lpstr>'SEMANA 02'!Área_de_impresión</vt:lpstr>
      <vt:lpstr>'SEMANA 03'!Área_de_impresión</vt:lpstr>
      <vt:lpstr>'SEMANA 04'!Área_de_impresión</vt:lpstr>
      <vt:lpstr>'SEMANA 05'!Área_de_impresión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Indira Godos</cp:lastModifiedBy>
  <cp:revision/>
  <cp:lastPrinted>2026-04-07T16:45:50Z</cp:lastPrinted>
  <dcterms:created xsi:type="dcterms:W3CDTF">2014-07-29T15:47:11Z</dcterms:created>
  <dcterms:modified xsi:type="dcterms:W3CDTF">2026-04-07T18:50:37Z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0x01010022ED5E49542F494D980995A53BC900DF</vt:lpwstr>
  </property>
  <property fmtid="{D5CDD505-2E9C-101B-9397-08002B2CF9AE}" pid="3" name="_dlc_DocIdItemGuid">
    <vt:lpwstr>a6a03925-8992-4000-969d-60e95a2e71c6</vt:lpwstr>
  </property>
  <property fmtid="{D5CDD505-2E9C-101B-9397-08002B2CF9AE}" pid="4" name="MediaServiceImageTags">
    <vt:lpwstr/>
  </property>
</Properties>
</file>